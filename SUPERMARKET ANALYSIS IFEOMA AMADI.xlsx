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f02fe4ea2e9180/Documents/"/>
    </mc:Choice>
  </mc:AlternateContent>
  <xr:revisionPtr revIDLastSave="13" documentId="8_{DEC531C7-72C7-44CD-B40B-80A80318BE15}" xr6:coauthVersionLast="47" xr6:coauthVersionMax="47" xr10:uidLastSave="{04A7865E-D942-442B-9294-C412AB335F25}"/>
  <bookViews>
    <workbookView xWindow="-108" yWindow="-108" windowWidth="23256" windowHeight="12456" activeTab="4" xr2:uid="{61191210-7D38-4559-A77F-88E5D317B539}"/>
  </bookViews>
  <sheets>
    <sheet name="Clean data" sheetId="2" r:id="rId1"/>
    <sheet name="Distribution" sheetId="10" r:id="rId2"/>
    <sheet name="Hypothesis" sheetId="11" r:id="rId3"/>
    <sheet name="Visuals" sheetId="3" r:id="rId4"/>
    <sheet name="Status Summary" sheetId="1" r:id="rId5"/>
  </sheets>
  <definedNames>
    <definedName name="_xlchart.v1.0" hidden="1">'Clean data'!$T$1</definedName>
    <definedName name="_xlchart.v1.1" hidden="1">'Clean data'!$T$2:$T$975</definedName>
    <definedName name="ExternalData_1" localSheetId="0" hidden="1">'Clean data'!$A$1:$T$975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10" l="1"/>
  <c r="B41" i="10"/>
  <c r="B40" i="10"/>
  <c r="B36" i="10"/>
  <c r="B35" i="10"/>
  <c r="B34" i="10"/>
  <c r="B27" i="10"/>
  <c r="B26" i="10"/>
  <c r="B25" i="10"/>
  <c r="B21" i="10"/>
  <c r="B15" i="10"/>
  <c r="B5" i="10"/>
  <c r="B3" i="10"/>
  <c r="B4" i="10" s="1"/>
  <c r="B19" i="1"/>
  <c r="B2" i="10"/>
  <c r="C2" i="1"/>
  <c r="B24" i="1"/>
  <c r="B28" i="1" s="1"/>
  <c r="B29" i="1" s="1"/>
  <c r="B23" i="1"/>
  <c r="B18" i="1"/>
  <c r="C5" i="1" a="1"/>
  <c r="C5" i="1" s="1"/>
  <c r="C4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DBCA8B-7E12-48F3-81EA-CFD194955879}" keepAlive="1" name="Query - Clean data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<sst xmlns="http://schemas.openxmlformats.org/spreadsheetml/2006/main" count="5935" uniqueCount="108">
  <si>
    <t>Invoice ID.1.1</t>
  </si>
  <si>
    <t>Invoice ID.1.2</t>
  </si>
  <si>
    <t>Invoice ID.2</t>
  </si>
  <si>
    <t>Invoice ID.3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</si>
  <si>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</si>
  <si>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</si>
  <si>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</si>
  <si>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</si>
  <si>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</si>
  <si>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</si>
  <si>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</si>
  <si>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</si>
  <si>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</si>
  <si>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</si>
  <si>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</si>
  <si>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</si>
  <si>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</si>
  <si>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</si>
  <si>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</si>
  <si>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</si>
  <si>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Alex</t>
  </si>
  <si>
    <t>Yangon</t>
  </si>
  <si>
    <t>Member</t>
  </si>
  <si>
    <t>Female</t>
  </si>
  <si>
    <t>Health And Beauty</t>
  </si>
  <si>
    <t>Ewallet</t>
  </si>
  <si>
    <t>Giza</t>
  </si>
  <si>
    <t>Naypyitaw</t>
  </si>
  <si>
    <t>Normal</t>
  </si>
  <si>
    <t>Electronic Accessories</t>
  </si>
  <si>
    <t>Cash</t>
  </si>
  <si>
    <t>Home And Lifestyle</t>
  </si>
  <si>
    <t>Credit card</t>
  </si>
  <si>
    <t>Sports And Travel</t>
  </si>
  <si>
    <t>Cairo</t>
  </si>
  <si>
    <t>Mandalay</t>
  </si>
  <si>
    <t>Food And Beverages</t>
  </si>
  <si>
    <t>Fashion Accessories</t>
  </si>
  <si>
    <t>Male</t>
  </si>
  <si>
    <t>Mean/Average</t>
  </si>
  <si>
    <t>Measurement of Central Tendency</t>
  </si>
  <si>
    <t>Median</t>
  </si>
  <si>
    <t>Measurement of Dispersion</t>
  </si>
  <si>
    <t>Variance.S</t>
  </si>
  <si>
    <t>Mode (multiple)</t>
  </si>
  <si>
    <t>Mode (single)</t>
  </si>
  <si>
    <t>Standard Deviation.S</t>
  </si>
  <si>
    <t>Margin of Error (60 Random Samples)</t>
  </si>
  <si>
    <t>60 Random Samples</t>
  </si>
  <si>
    <t>Mean</t>
  </si>
  <si>
    <t>Standard Deviation</t>
  </si>
  <si>
    <t>No. of Measurements</t>
  </si>
  <si>
    <t>Z-Score</t>
  </si>
  <si>
    <t>Certainty Level</t>
  </si>
  <si>
    <t>Standard Error</t>
  </si>
  <si>
    <t xml:space="preserve">Margin of Error </t>
  </si>
  <si>
    <t>OBSERVATION</t>
  </si>
  <si>
    <t>XY SCATTERED GRAPH</t>
  </si>
  <si>
    <t>Column Bar Chart</t>
  </si>
  <si>
    <t>histogram</t>
  </si>
  <si>
    <t>PIECHART</t>
  </si>
  <si>
    <t xml:space="preserve">OBSERVATION 2:IF MARKETING TEAM HAS A LIMITED BUDGET TO RUN A PROMOTION FOR "E WALLET" USERS THE BRANCH THAT SHOULD BE TARGETED SHOULD BE THE GIZA BRANCH </t>
  </si>
  <si>
    <t>the mean and median arent equal, it is skewed.</t>
  </si>
  <si>
    <t>Mean(Average)</t>
  </si>
  <si>
    <t>Probability for $500 or less</t>
  </si>
  <si>
    <t>Probability for $800 above</t>
  </si>
  <si>
    <t>OBSERVATION 3</t>
  </si>
  <si>
    <t>THE MATHS SUGGESTS THE STORE KEEPER FOCUS ON  VOLUME FOR SMALLER BASKETS</t>
  </si>
  <si>
    <t>TASK A AND TASK B(PART 4) NORMAL DISTRIBUSTION</t>
  </si>
  <si>
    <t>BINOMIAL DISTRIBUTION TASK A</t>
  </si>
  <si>
    <t>Probability of success for credit card</t>
  </si>
  <si>
    <t>Probable Number of walk in customers paying with credit card</t>
  </si>
  <si>
    <t xml:space="preserve">Number of walk in customers </t>
  </si>
  <si>
    <t>Probability that exactly 20 customers paid with credit card</t>
  </si>
  <si>
    <t>TASK B</t>
  </si>
  <si>
    <t>number of walk in customers</t>
  </si>
  <si>
    <t>Probable Number of walk in customer paying with credit card</t>
  </si>
  <si>
    <t>probability that exactly 0  walk in customer willpay with credit card</t>
  </si>
  <si>
    <t>POISSON DISTRIBUTION (FOOT TRAFFIC)</t>
  </si>
  <si>
    <t>Average number of transaction  per day(lamda)</t>
  </si>
  <si>
    <t>Probability of exactly 85 transaction tomorrow</t>
  </si>
  <si>
    <t>Probability of exactly 120 transaction tomorrow</t>
  </si>
  <si>
    <t>OBSERVATION 4:</t>
  </si>
  <si>
    <t>THE STORE KEEPER SHOULD SCHEDULES THE EMPLOYEREE SHIFT BASED ON AVERAGE DEMAND, THIS WILL SAVE LABOUR COST AND AVOID PAYING FOR OVER TIME ON DAYS WHEN THERE IS LOW SALES.</t>
  </si>
  <si>
    <t>THE EXPONENTIAL DISTRIBUTION (EQUIPMENT FAILURE)</t>
  </si>
  <si>
    <t>LAMDA</t>
  </si>
  <si>
    <t>Probability tat the next jam occurs in 20 minutes or less</t>
  </si>
  <si>
    <t>Probability for more than 60 minutes before jamming</t>
  </si>
  <si>
    <t>THE UNIFORM DISTRIBUTION (Promotion)</t>
  </si>
  <si>
    <t>Exact number of reciept generated today</t>
  </si>
  <si>
    <t xml:space="preserve">Uniform probability of reciept #145 winning the voucher </t>
  </si>
  <si>
    <t xml:space="preserve">Uniform probability of reciept #299 winning the voucher </t>
  </si>
  <si>
    <t>reciept #299 has an equal probability of winning compared to reciept #142</t>
  </si>
  <si>
    <t>TEST 1</t>
  </si>
  <si>
    <t>the marketing team believes that customers who holds a "a member" card spend mre money on average than "normal" customers</t>
  </si>
  <si>
    <t xml:space="preserve">NULL HYPOTHESIS </t>
  </si>
  <si>
    <t>Members spend more on average than normal customers</t>
  </si>
  <si>
    <t xml:space="preserve">ALTERNATIVE HYPOTHESIS </t>
  </si>
  <si>
    <t>Members spend more on average than the noral customers</t>
  </si>
  <si>
    <t xml:space="preserve">TEST TYPE </t>
  </si>
  <si>
    <t>One -tailed (directional) the test checks if member spend more or less</t>
  </si>
  <si>
    <t>TEST 2</t>
  </si>
  <si>
    <t>The regional manager wants to know if there is any difference whatsoever in the average customer rating between male and female shoppers.</t>
  </si>
  <si>
    <t>Male and Female customers have the sameaverage ratings.</t>
  </si>
  <si>
    <t xml:space="preserve">Alternative Hypothesis </t>
  </si>
  <si>
    <t>Male and Female customers havwe different average ratings.</t>
  </si>
  <si>
    <t>TEST TYPE</t>
  </si>
  <si>
    <t>Two tailed (Non- directional),the test is checking for any difference in ratings.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</si>
</sst>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165" fontId="0" fillId="0" borderId="0" xfId="0" applyNumberFormat="1"/>
    <xf numFmtId="2" fontId="0" fillId="0" borderId="0" xfId="0" applyNumberFormat="1"/>
    <xf numFmtId="9" fontId="0" fillId="0" borderId="0" xfId="1" applyFont="1"/>
    <xf numFmtId="0" fontId="1" fillId="0" borderId="0" xfId="0" applyFont="1" applyAlignment="1">
      <alignment wrapText="1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  <a:r>
              <a:rPr lang="en-US" baseline="0"/>
              <a:t> SCATTER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'Clean data'!$K$2:$K$975</c:f>
              <c:numCache>
                <c:formatCode>General</c:formatCode>
                <c:ptCount val="974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10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10</c:v>
                </c:pt>
                <c:pt idx="13">
                  <c:v>6</c:v>
                </c:pt>
                <c:pt idx="14">
                  <c:v>7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8</c:v>
                </c:pt>
                <c:pt idx="23">
                  <c:v>1</c:v>
                </c:pt>
                <c:pt idx="24">
                  <c:v>2</c:v>
                </c:pt>
                <c:pt idx="25">
                  <c:v>5</c:v>
                </c:pt>
                <c:pt idx="26">
                  <c:v>9</c:v>
                </c:pt>
                <c:pt idx="27">
                  <c:v>5</c:v>
                </c:pt>
                <c:pt idx="28">
                  <c:v>9</c:v>
                </c:pt>
                <c:pt idx="29">
                  <c:v>4</c:v>
                </c:pt>
                <c:pt idx="30">
                  <c:v>1</c:v>
                </c:pt>
                <c:pt idx="31">
                  <c:v>5</c:v>
                </c:pt>
                <c:pt idx="32">
                  <c:v>9</c:v>
                </c:pt>
                <c:pt idx="33">
                  <c:v>8</c:v>
                </c:pt>
                <c:pt idx="34">
                  <c:v>8</c:v>
                </c:pt>
                <c:pt idx="35">
                  <c:v>1</c:v>
                </c:pt>
                <c:pt idx="36">
                  <c:v>2</c:v>
                </c:pt>
                <c:pt idx="37">
                  <c:v>6</c:v>
                </c:pt>
                <c:pt idx="38">
                  <c:v>8</c:v>
                </c:pt>
                <c:pt idx="39">
                  <c:v>2</c:v>
                </c:pt>
                <c:pt idx="40">
                  <c:v>4</c:v>
                </c:pt>
                <c:pt idx="41">
                  <c:v>9</c:v>
                </c:pt>
                <c:pt idx="42">
                  <c:v>9</c:v>
                </c:pt>
                <c:pt idx="43">
                  <c:v>6</c:v>
                </c:pt>
                <c:pt idx="44">
                  <c:v>10</c:v>
                </c:pt>
                <c:pt idx="45">
                  <c:v>7</c:v>
                </c:pt>
                <c:pt idx="46">
                  <c:v>5</c:v>
                </c:pt>
                <c:pt idx="47">
                  <c:v>4</c:v>
                </c:pt>
                <c:pt idx="48">
                  <c:v>1</c:v>
                </c:pt>
                <c:pt idx="49">
                  <c:v>2</c:v>
                </c:pt>
                <c:pt idx="50">
                  <c:v>8</c:v>
                </c:pt>
                <c:pt idx="51">
                  <c:v>2</c:v>
                </c:pt>
                <c:pt idx="52">
                  <c:v>8</c:v>
                </c:pt>
                <c:pt idx="53">
                  <c:v>10</c:v>
                </c:pt>
                <c:pt idx="54">
                  <c:v>6</c:v>
                </c:pt>
                <c:pt idx="55">
                  <c:v>3</c:v>
                </c:pt>
                <c:pt idx="56">
                  <c:v>9</c:v>
                </c:pt>
                <c:pt idx="57">
                  <c:v>10</c:v>
                </c:pt>
                <c:pt idx="58">
                  <c:v>4</c:v>
                </c:pt>
                <c:pt idx="59">
                  <c:v>10</c:v>
                </c:pt>
                <c:pt idx="60">
                  <c:v>2</c:v>
                </c:pt>
                <c:pt idx="61">
                  <c:v>6</c:v>
                </c:pt>
                <c:pt idx="62">
                  <c:v>10</c:v>
                </c:pt>
                <c:pt idx="63">
                  <c:v>1</c:v>
                </c:pt>
                <c:pt idx="64">
                  <c:v>10</c:v>
                </c:pt>
                <c:pt idx="65">
                  <c:v>10</c:v>
                </c:pt>
                <c:pt idx="66">
                  <c:v>3</c:v>
                </c:pt>
                <c:pt idx="67">
                  <c:v>6</c:v>
                </c:pt>
                <c:pt idx="68">
                  <c:v>9</c:v>
                </c:pt>
                <c:pt idx="69">
                  <c:v>10</c:v>
                </c:pt>
                <c:pt idx="70">
                  <c:v>9</c:v>
                </c:pt>
                <c:pt idx="71">
                  <c:v>9</c:v>
                </c:pt>
                <c:pt idx="72">
                  <c:v>10</c:v>
                </c:pt>
                <c:pt idx="73">
                  <c:v>5</c:v>
                </c:pt>
                <c:pt idx="74">
                  <c:v>6</c:v>
                </c:pt>
                <c:pt idx="75">
                  <c:v>3</c:v>
                </c:pt>
                <c:pt idx="76">
                  <c:v>8</c:v>
                </c:pt>
                <c:pt idx="77">
                  <c:v>4</c:v>
                </c:pt>
                <c:pt idx="78">
                  <c:v>5</c:v>
                </c:pt>
                <c:pt idx="79">
                  <c:v>7</c:v>
                </c:pt>
                <c:pt idx="80">
                  <c:v>5</c:v>
                </c:pt>
                <c:pt idx="81">
                  <c:v>7</c:v>
                </c:pt>
                <c:pt idx="82">
                  <c:v>1</c:v>
                </c:pt>
                <c:pt idx="83">
                  <c:v>6</c:v>
                </c:pt>
                <c:pt idx="84">
                  <c:v>4</c:v>
                </c:pt>
                <c:pt idx="85">
                  <c:v>10</c:v>
                </c:pt>
                <c:pt idx="86">
                  <c:v>7</c:v>
                </c:pt>
                <c:pt idx="87">
                  <c:v>9</c:v>
                </c:pt>
                <c:pt idx="88">
                  <c:v>1</c:v>
                </c:pt>
                <c:pt idx="89">
                  <c:v>1</c:v>
                </c:pt>
                <c:pt idx="90">
                  <c:v>10</c:v>
                </c:pt>
                <c:pt idx="91">
                  <c:v>6</c:v>
                </c:pt>
                <c:pt idx="92">
                  <c:v>3</c:v>
                </c:pt>
                <c:pt idx="93">
                  <c:v>6</c:v>
                </c:pt>
                <c:pt idx="94">
                  <c:v>1</c:v>
                </c:pt>
                <c:pt idx="95">
                  <c:v>9</c:v>
                </c:pt>
                <c:pt idx="96">
                  <c:v>9</c:v>
                </c:pt>
                <c:pt idx="97">
                  <c:v>6</c:v>
                </c:pt>
                <c:pt idx="98">
                  <c:v>7</c:v>
                </c:pt>
                <c:pt idx="99">
                  <c:v>10</c:v>
                </c:pt>
                <c:pt idx="100">
                  <c:v>6</c:v>
                </c:pt>
                <c:pt idx="101">
                  <c:v>6</c:v>
                </c:pt>
                <c:pt idx="102">
                  <c:v>9</c:v>
                </c:pt>
                <c:pt idx="103">
                  <c:v>2</c:v>
                </c:pt>
                <c:pt idx="104">
                  <c:v>3</c:v>
                </c:pt>
                <c:pt idx="105">
                  <c:v>7</c:v>
                </c:pt>
                <c:pt idx="106">
                  <c:v>9</c:v>
                </c:pt>
                <c:pt idx="107">
                  <c:v>9</c:v>
                </c:pt>
                <c:pt idx="108">
                  <c:v>3</c:v>
                </c:pt>
                <c:pt idx="109">
                  <c:v>5</c:v>
                </c:pt>
                <c:pt idx="110">
                  <c:v>1</c:v>
                </c:pt>
                <c:pt idx="111">
                  <c:v>10</c:v>
                </c:pt>
                <c:pt idx="112">
                  <c:v>2</c:v>
                </c:pt>
                <c:pt idx="113">
                  <c:v>8</c:v>
                </c:pt>
                <c:pt idx="114">
                  <c:v>7</c:v>
                </c:pt>
                <c:pt idx="115">
                  <c:v>9</c:v>
                </c:pt>
                <c:pt idx="116">
                  <c:v>8</c:v>
                </c:pt>
                <c:pt idx="117">
                  <c:v>8</c:v>
                </c:pt>
                <c:pt idx="118">
                  <c:v>7</c:v>
                </c:pt>
                <c:pt idx="119">
                  <c:v>5</c:v>
                </c:pt>
                <c:pt idx="120">
                  <c:v>9</c:v>
                </c:pt>
                <c:pt idx="121">
                  <c:v>8</c:v>
                </c:pt>
                <c:pt idx="122">
                  <c:v>9</c:v>
                </c:pt>
                <c:pt idx="123">
                  <c:v>7</c:v>
                </c:pt>
                <c:pt idx="124">
                  <c:v>6</c:v>
                </c:pt>
                <c:pt idx="125">
                  <c:v>4</c:v>
                </c:pt>
                <c:pt idx="126">
                  <c:v>6</c:v>
                </c:pt>
                <c:pt idx="127">
                  <c:v>6</c:v>
                </c:pt>
                <c:pt idx="128">
                  <c:v>3</c:v>
                </c:pt>
                <c:pt idx="129">
                  <c:v>6</c:v>
                </c:pt>
                <c:pt idx="130">
                  <c:v>10</c:v>
                </c:pt>
                <c:pt idx="131">
                  <c:v>8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</c:v>
                </c:pt>
                <c:pt idx="136">
                  <c:v>6</c:v>
                </c:pt>
                <c:pt idx="137">
                  <c:v>6</c:v>
                </c:pt>
                <c:pt idx="138">
                  <c:v>10</c:v>
                </c:pt>
                <c:pt idx="139">
                  <c:v>4</c:v>
                </c:pt>
                <c:pt idx="140">
                  <c:v>8</c:v>
                </c:pt>
                <c:pt idx="141">
                  <c:v>8</c:v>
                </c:pt>
                <c:pt idx="142">
                  <c:v>4</c:v>
                </c:pt>
                <c:pt idx="143">
                  <c:v>7</c:v>
                </c:pt>
                <c:pt idx="144">
                  <c:v>9</c:v>
                </c:pt>
                <c:pt idx="145">
                  <c:v>6</c:v>
                </c:pt>
                <c:pt idx="146">
                  <c:v>8</c:v>
                </c:pt>
                <c:pt idx="147">
                  <c:v>5</c:v>
                </c:pt>
                <c:pt idx="148">
                  <c:v>1</c:v>
                </c:pt>
                <c:pt idx="149">
                  <c:v>5</c:v>
                </c:pt>
                <c:pt idx="150">
                  <c:v>9</c:v>
                </c:pt>
                <c:pt idx="151">
                  <c:v>6</c:v>
                </c:pt>
                <c:pt idx="152">
                  <c:v>8</c:v>
                </c:pt>
                <c:pt idx="153">
                  <c:v>1</c:v>
                </c:pt>
                <c:pt idx="154">
                  <c:v>2</c:v>
                </c:pt>
                <c:pt idx="155">
                  <c:v>10</c:v>
                </c:pt>
                <c:pt idx="156">
                  <c:v>8</c:v>
                </c:pt>
                <c:pt idx="157">
                  <c:v>10</c:v>
                </c:pt>
                <c:pt idx="158">
                  <c:v>10</c:v>
                </c:pt>
                <c:pt idx="159">
                  <c:v>6</c:v>
                </c:pt>
                <c:pt idx="160">
                  <c:v>7</c:v>
                </c:pt>
                <c:pt idx="161">
                  <c:v>5</c:v>
                </c:pt>
                <c:pt idx="162">
                  <c:v>5</c:v>
                </c:pt>
                <c:pt idx="163">
                  <c:v>8</c:v>
                </c:pt>
                <c:pt idx="164">
                  <c:v>6</c:v>
                </c:pt>
                <c:pt idx="165">
                  <c:v>8</c:v>
                </c:pt>
                <c:pt idx="166">
                  <c:v>9</c:v>
                </c:pt>
                <c:pt idx="167">
                  <c:v>8</c:v>
                </c:pt>
                <c:pt idx="168">
                  <c:v>7</c:v>
                </c:pt>
                <c:pt idx="169">
                  <c:v>6</c:v>
                </c:pt>
                <c:pt idx="170">
                  <c:v>3</c:v>
                </c:pt>
                <c:pt idx="171">
                  <c:v>7</c:v>
                </c:pt>
                <c:pt idx="172">
                  <c:v>8</c:v>
                </c:pt>
                <c:pt idx="173">
                  <c:v>8</c:v>
                </c:pt>
                <c:pt idx="174">
                  <c:v>3</c:v>
                </c:pt>
                <c:pt idx="175">
                  <c:v>4</c:v>
                </c:pt>
                <c:pt idx="176">
                  <c:v>1</c:v>
                </c:pt>
                <c:pt idx="177">
                  <c:v>3</c:v>
                </c:pt>
                <c:pt idx="178">
                  <c:v>2</c:v>
                </c:pt>
                <c:pt idx="179">
                  <c:v>9</c:v>
                </c:pt>
                <c:pt idx="180">
                  <c:v>4</c:v>
                </c:pt>
                <c:pt idx="181">
                  <c:v>5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4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7</c:v>
                </c:pt>
                <c:pt idx="190">
                  <c:v>10</c:v>
                </c:pt>
                <c:pt idx="191">
                  <c:v>5</c:v>
                </c:pt>
                <c:pt idx="192">
                  <c:v>9</c:v>
                </c:pt>
                <c:pt idx="193">
                  <c:v>9</c:v>
                </c:pt>
                <c:pt idx="194">
                  <c:v>10</c:v>
                </c:pt>
                <c:pt idx="195">
                  <c:v>3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5</c:v>
                </c:pt>
                <c:pt idx="200">
                  <c:v>7</c:v>
                </c:pt>
                <c:pt idx="201">
                  <c:v>1</c:v>
                </c:pt>
                <c:pt idx="202">
                  <c:v>5</c:v>
                </c:pt>
                <c:pt idx="203">
                  <c:v>3</c:v>
                </c:pt>
                <c:pt idx="204">
                  <c:v>8</c:v>
                </c:pt>
                <c:pt idx="205">
                  <c:v>3</c:v>
                </c:pt>
                <c:pt idx="206">
                  <c:v>6</c:v>
                </c:pt>
                <c:pt idx="207">
                  <c:v>7</c:v>
                </c:pt>
                <c:pt idx="208">
                  <c:v>5</c:v>
                </c:pt>
                <c:pt idx="209">
                  <c:v>1</c:v>
                </c:pt>
                <c:pt idx="210">
                  <c:v>2</c:v>
                </c:pt>
                <c:pt idx="211">
                  <c:v>2</c:v>
                </c:pt>
                <c:pt idx="212">
                  <c:v>9</c:v>
                </c:pt>
                <c:pt idx="213">
                  <c:v>4</c:v>
                </c:pt>
                <c:pt idx="214">
                  <c:v>6</c:v>
                </c:pt>
                <c:pt idx="215">
                  <c:v>8</c:v>
                </c:pt>
                <c:pt idx="216">
                  <c:v>2</c:v>
                </c:pt>
                <c:pt idx="217">
                  <c:v>3</c:v>
                </c:pt>
                <c:pt idx="218">
                  <c:v>9</c:v>
                </c:pt>
                <c:pt idx="219">
                  <c:v>4</c:v>
                </c:pt>
                <c:pt idx="220">
                  <c:v>10</c:v>
                </c:pt>
                <c:pt idx="221">
                  <c:v>2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2</c:v>
                </c:pt>
                <c:pt idx="228">
                  <c:v>2</c:v>
                </c:pt>
                <c:pt idx="229">
                  <c:v>4</c:v>
                </c:pt>
                <c:pt idx="230">
                  <c:v>8</c:v>
                </c:pt>
                <c:pt idx="231">
                  <c:v>8</c:v>
                </c:pt>
                <c:pt idx="232">
                  <c:v>3</c:v>
                </c:pt>
                <c:pt idx="233">
                  <c:v>5</c:v>
                </c:pt>
                <c:pt idx="234">
                  <c:v>4</c:v>
                </c:pt>
                <c:pt idx="235">
                  <c:v>7</c:v>
                </c:pt>
                <c:pt idx="236">
                  <c:v>9</c:v>
                </c:pt>
                <c:pt idx="237">
                  <c:v>10</c:v>
                </c:pt>
                <c:pt idx="238">
                  <c:v>2</c:v>
                </c:pt>
                <c:pt idx="239">
                  <c:v>4</c:v>
                </c:pt>
                <c:pt idx="240">
                  <c:v>8</c:v>
                </c:pt>
                <c:pt idx="241">
                  <c:v>4</c:v>
                </c:pt>
                <c:pt idx="242">
                  <c:v>1</c:v>
                </c:pt>
                <c:pt idx="243">
                  <c:v>6</c:v>
                </c:pt>
                <c:pt idx="244">
                  <c:v>4</c:v>
                </c:pt>
                <c:pt idx="245">
                  <c:v>4</c:v>
                </c:pt>
                <c:pt idx="246">
                  <c:v>9</c:v>
                </c:pt>
                <c:pt idx="247">
                  <c:v>4</c:v>
                </c:pt>
                <c:pt idx="248">
                  <c:v>4</c:v>
                </c:pt>
                <c:pt idx="249">
                  <c:v>10</c:v>
                </c:pt>
                <c:pt idx="250">
                  <c:v>1</c:v>
                </c:pt>
                <c:pt idx="251">
                  <c:v>7</c:v>
                </c:pt>
                <c:pt idx="252">
                  <c:v>4</c:v>
                </c:pt>
                <c:pt idx="253">
                  <c:v>10</c:v>
                </c:pt>
                <c:pt idx="254">
                  <c:v>10</c:v>
                </c:pt>
                <c:pt idx="255">
                  <c:v>5</c:v>
                </c:pt>
                <c:pt idx="256">
                  <c:v>2</c:v>
                </c:pt>
                <c:pt idx="257">
                  <c:v>9</c:v>
                </c:pt>
                <c:pt idx="258">
                  <c:v>2</c:v>
                </c:pt>
                <c:pt idx="259">
                  <c:v>6</c:v>
                </c:pt>
                <c:pt idx="260">
                  <c:v>7</c:v>
                </c:pt>
                <c:pt idx="261">
                  <c:v>10</c:v>
                </c:pt>
                <c:pt idx="262">
                  <c:v>4</c:v>
                </c:pt>
                <c:pt idx="263">
                  <c:v>10</c:v>
                </c:pt>
                <c:pt idx="264">
                  <c:v>10</c:v>
                </c:pt>
                <c:pt idx="265">
                  <c:v>8</c:v>
                </c:pt>
                <c:pt idx="266">
                  <c:v>1</c:v>
                </c:pt>
                <c:pt idx="267">
                  <c:v>1</c:v>
                </c:pt>
                <c:pt idx="268">
                  <c:v>6</c:v>
                </c:pt>
                <c:pt idx="269">
                  <c:v>4</c:v>
                </c:pt>
                <c:pt idx="270">
                  <c:v>5</c:v>
                </c:pt>
                <c:pt idx="271">
                  <c:v>1</c:v>
                </c:pt>
                <c:pt idx="272">
                  <c:v>9</c:v>
                </c:pt>
                <c:pt idx="273">
                  <c:v>7</c:v>
                </c:pt>
                <c:pt idx="274">
                  <c:v>7</c:v>
                </c:pt>
                <c:pt idx="275">
                  <c:v>10</c:v>
                </c:pt>
                <c:pt idx="276">
                  <c:v>7</c:v>
                </c:pt>
                <c:pt idx="277">
                  <c:v>1</c:v>
                </c:pt>
                <c:pt idx="278">
                  <c:v>2</c:v>
                </c:pt>
                <c:pt idx="279">
                  <c:v>10</c:v>
                </c:pt>
                <c:pt idx="280">
                  <c:v>4</c:v>
                </c:pt>
                <c:pt idx="281">
                  <c:v>6</c:v>
                </c:pt>
                <c:pt idx="282">
                  <c:v>4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4</c:v>
                </c:pt>
                <c:pt idx="288">
                  <c:v>8</c:v>
                </c:pt>
                <c:pt idx="289">
                  <c:v>7</c:v>
                </c:pt>
                <c:pt idx="290">
                  <c:v>7</c:v>
                </c:pt>
                <c:pt idx="291">
                  <c:v>8</c:v>
                </c:pt>
                <c:pt idx="292">
                  <c:v>3</c:v>
                </c:pt>
                <c:pt idx="293">
                  <c:v>2</c:v>
                </c:pt>
                <c:pt idx="294">
                  <c:v>6</c:v>
                </c:pt>
                <c:pt idx="295">
                  <c:v>2</c:v>
                </c:pt>
                <c:pt idx="296">
                  <c:v>5</c:v>
                </c:pt>
                <c:pt idx="297">
                  <c:v>9</c:v>
                </c:pt>
                <c:pt idx="298">
                  <c:v>10</c:v>
                </c:pt>
                <c:pt idx="299">
                  <c:v>2</c:v>
                </c:pt>
                <c:pt idx="300">
                  <c:v>5</c:v>
                </c:pt>
                <c:pt idx="301">
                  <c:v>7</c:v>
                </c:pt>
                <c:pt idx="302">
                  <c:v>4</c:v>
                </c:pt>
                <c:pt idx="303">
                  <c:v>9</c:v>
                </c:pt>
                <c:pt idx="304">
                  <c:v>1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4</c:v>
                </c:pt>
                <c:pt idx="309">
                  <c:v>5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9</c:v>
                </c:pt>
                <c:pt idx="314">
                  <c:v>3</c:v>
                </c:pt>
                <c:pt idx="315">
                  <c:v>5</c:v>
                </c:pt>
                <c:pt idx="316">
                  <c:v>2</c:v>
                </c:pt>
                <c:pt idx="317">
                  <c:v>5</c:v>
                </c:pt>
                <c:pt idx="318">
                  <c:v>5</c:v>
                </c:pt>
                <c:pt idx="319">
                  <c:v>9</c:v>
                </c:pt>
                <c:pt idx="320">
                  <c:v>6</c:v>
                </c:pt>
                <c:pt idx="321">
                  <c:v>3</c:v>
                </c:pt>
                <c:pt idx="322">
                  <c:v>9</c:v>
                </c:pt>
                <c:pt idx="323">
                  <c:v>7</c:v>
                </c:pt>
                <c:pt idx="324">
                  <c:v>7</c:v>
                </c:pt>
                <c:pt idx="325">
                  <c:v>5</c:v>
                </c:pt>
                <c:pt idx="326">
                  <c:v>3</c:v>
                </c:pt>
                <c:pt idx="327">
                  <c:v>9</c:v>
                </c:pt>
                <c:pt idx="328">
                  <c:v>1</c:v>
                </c:pt>
                <c:pt idx="329">
                  <c:v>8</c:v>
                </c:pt>
                <c:pt idx="330">
                  <c:v>7</c:v>
                </c:pt>
                <c:pt idx="331">
                  <c:v>10</c:v>
                </c:pt>
                <c:pt idx="332">
                  <c:v>10</c:v>
                </c:pt>
                <c:pt idx="333">
                  <c:v>7</c:v>
                </c:pt>
                <c:pt idx="334">
                  <c:v>7</c:v>
                </c:pt>
                <c:pt idx="335">
                  <c:v>9</c:v>
                </c:pt>
                <c:pt idx="336">
                  <c:v>1</c:v>
                </c:pt>
                <c:pt idx="337">
                  <c:v>4</c:v>
                </c:pt>
                <c:pt idx="338">
                  <c:v>10</c:v>
                </c:pt>
                <c:pt idx="339">
                  <c:v>10</c:v>
                </c:pt>
                <c:pt idx="340">
                  <c:v>3</c:v>
                </c:pt>
                <c:pt idx="341">
                  <c:v>1</c:v>
                </c:pt>
                <c:pt idx="342">
                  <c:v>8</c:v>
                </c:pt>
                <c:pt idx="343">
                  <c:v>2</c:v>
                </c:pt>
                <c:pt idx="344">
                  <c:v>6</c:v>
                </c:pt>
                <c:pt idx="345">
                  <c:v>4</c:v>
                </c:pt>
                <c:pt idx="346">
                  <c:v>4</c:v>
                </c:pt>
                <c:pt idx="347">
                  <c:v>9</c:v>
                </c:pt>
                <c:pt idx="348">
                  <c:v>4</c:v>
                </c:pt>
                <c:pt idx="349">
                  <c:v>10</c:v>
                </c:pt>
                <c:pt idx="350">
                  <c:v>9</c:v>
                </c:pt>
                <c:pt idx="351">
                  <c:v>7</c:v>
                </c:pt>
                <c:pt idx="352">
                  <c:v>2</c:v>
                </c:pt>
                <c:pt idx="353">
                  <c:v>6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9</c:v>
                </c:pt>
                <c:pt idx="358">
                  <c:v>7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2</c:v>
                </c:pt>
                <c:pt idx="363">
                  <c:v>4</c:v>
                </c:pt>
                <c:pt idx="364">
                  <c:v>5</c:v>
                </c:pt>
                <c:pt idx="365">
                  <c:v>1</c:v>
                </c:pt>
                <c:pt idx="366">
                  <c:v>6</c:v>
                </c:pt>
                <c:pt idx="367">
                  <c:v>10</c:v>
                </c:pt>
                <c:pt idx="368">
                  <c:v>9</c:v>
                </c:pt>
                <c:pt idx="369">
                  <c:v>7</c:v>
                </c:pt>
                <c:pt idx="370">
                  <c:v>3</c:v>
                </c:pt>
                <c:pt idx="371">
                  <c:v>10</c:v>
                </c:pt>
                <c:pt idx="372">
                  <c:v>1</c:v>
                </c:pt>
                <c:pt idx="373">
                  <c:v>10</c:v>
                </c:pt>
                <c:pt idx="374">
                  <c:v>1</c:v>
                </c:pt>
                <c:pt idx="375">
                  <c:v>5</c:v>
                </c:pt>
                <c:pt idx="376">
                  <c:v>5</c:v>
                </c:pt>
                <c:pt idx="377">
                  <c:v>9</c:v>
                </c:pt>
                <c:pt idx="378">
                  <c:v>6</c:v>
                </c:pt>
                <c:pt idx="379">
                  <c:v>9</c:v>
                </c:pt>
                <c:pt idx="380">
                  <c:v>6</c:v>
                </c:pt>
                <c:pt idx="381">
                  <c:v>4</c:v>
                </c:pt>
                <c:pt idx="382">
                  <c:v>5</c:v>
                </c:pt>
                <c:pt idx="383">
                  <c:v>7</c:v>
                </c:pt>
                <c:pt idx="384">
                  <c:v>4</c:v>
                </c:pt>
                <c:pt idx="385">
                  <c:v>5</c:v>
                </c:pt>
                <c:pt idx="386">
                  <c:v>4</c:v>
                </c:pt>
                <c:pt idx="387">
                  <c:v>4</c:v>
                </c:pt>
                <c:pt idx="388">
                  <c:v>5</c:v>
                </c:pt>
                <c:pt idx="389">
                  <c:v>10</c:v>
                </c:pt>
                <c:pt idx="390">
                  <c:v>2</c:v>
                </c:pt>
                <c:pt idx="391">
                  <c:v>5</c:v>
                </c:pt>
                <c:pt idx="392">
                  <c:v>3</c:v>
                </c:pt>
                <c:pt idx="393">
                  <c:v>8</c:v>
                </c:pt>
                <c:pt idx="394">
                  <c:v>1</c:v>
                </c:pt>
                <c:pt idx="395">
                  <c:v>4</c:v>
                </c:pt>
                <c:pt idx="396">
                  <c:v>1</c:v>
                </c:pt>
                <c:pt idx="397">
                  <c:v>2</c:v>
                </c:pt>
                <c:pt idx="398">
                  <c:v>7</c:v>
                </c:pt>
                <c:pt idx="399">
                  <c:v>3</c:v>
                </c:pt>
                <c:pt idx="400">
                  <c:v>3</c:v>
                </c:pt>
                <c:pt idx="401">
                  <c:v>10</c:v>
                </c:pt>
                <c:pt idx="402">
                  <c:v>8</c:v>
                </c:pt>
                <c:pt idx="403">
                  <c:v>1</c:v>
                </c:pt>
                <c:pt idx="404">
                  <c:v>7</c:v>
                </c:pt>
                <c:pt idx="405">
                  <c:v>3</c:v>
                </c:pt>
                <c:pt idx="406">
                  <c:v>5</c:v>
                </c:pt>
                <c:pt idx="407">
                  <c:v>10</c:v>
                </c:pt>
                <c:pt idx="408">
                  <c:v>2</c:v>
                </c:pt>
                <c:pt idx="409">
                  <c:v>2</c:v>
                </c:pt>
                <c:pt idx="410">
                  <c:v>6</c:v>
                </c:pt>
                <c:pt idx="411">
                  <c:v>7</c:v>
                </c:pt>
                <c:pt idx="412">
                  <c:v>1</c:v>
                </c:pt>
                <c:pt idx="413">
                  <c:v>9</c:v>
                </c:pt>
                <c:pt idx="414">
                  <c:v>4</c:v>
                </c:pt>
                <c:pt idx="415">
                  <c:v>6</c:v>
                </c:pt>
                <c:pt idx="416">
                  <c:v>4</c:v>
                </c:pt>
                <c:pt idx="417">
                  <c:v>8</c:v>
                </c:pt>
                <c:pt idx="418">
                  <c:v>5</c:v>
                </c:pt>
                <c:pt idx="419">
                  <c:v>8</c:v>
                </c:pt>
                <c:pt idx="420">
                  <c:v>9</c:v>
                </c:pt>
                <c:pt idx="421">
                  <c:v>1</c:v>
                </c:pt>
                <c:pt idx="422">
                  <c:v>7</c:v>
                </c:pt>
                <c:pt idx="423">
                  <c:v>1</c:v>
                </c:pt>
                <c:pt idx="424">
                  <c:v>10</c:v>
                </c:pt>
                <c:pt idx="425">
                  <c:v>1</c:v>
                </c:pt>
                <c:pt idx="426">
                  <c:v>1</c:v>
                </c:pt>
                <c:pt idx="427">
                  <c:v>6</c:v>
                </c:pt>
                <c:pt idx="428">
                  <c:v>6</c:v>
                </c:pt>
                <c:pt idx="429">
                  <c:v>5</c:v>
                </c:pt>
                <c:pt idx="430">
                  <c:v>1</c:v>
                </c:pt>
                <c:pt idx="431">
                  <c:v>4</c:v>
                </c:pt>
                <c:pt idx="432">
                  <c:v>5</c:v>
                </c:pt>
                <c:pt idx="433">
                  <c:v>9</c:v>
                </c:pt>
                <c:pt idx="434">
                  <c:v>10</c:v>
                </c:pt>
                <c:pt idx="435">
                  <c:v>10</c:v>
                </c:pt>
                <c:pt idx="436">
                  <c:v>1</c:v>
                </c:pt>
                <c:pt idx="437">
                  <c:v>5</c:v>
                </c:pt>
                <c:pt idx="438">
                  <c:v>10</c:v>
                </c:pt>
                <c:pt idx="439">
                  <c:v>4</c:v>
                </c:pt>
                <c:pt idx="440">
                  <c:v>1</c:v>
                </c:pt>
                <c:pt idx="441">
                  <c:v>5</c:v>
                </c:pt>
                <c:pt idx="442">
                  <c:v>7</c:v>
                </c:pt>
                <c:pt idx="443">
                  <c:v>6</c:v>
                </c:pt>
                <c:pt idx="444">
                  <c:v>1</c:v>
                </c:pt>
                <c:pt idx="445">
                  <c:v>1</c:v>
                </c:pt>
                <c:pt idx="446">
                  <c:v>6</c:v>
                </c:pt>
                <c:pt idx="447">
                  <c:v>4</c:v>
                </c:pt>
                <c:pt idx="448">
                  <c:v>10</c:v>
                </c:pt>
                <c:pt idx="449">
                  <c:v>8</c:v>
                </c:pt>
                <c:pt idx="450">
                  <c:v>5</c:v>
                </c:pt>
                <c:pt idx="451">
                  <c:v>3</c:v>
                </c:pt>
                <c:pt idx="452">
                  <c:v>5</c:v>
                </c:pt>
                <c:pt idx="453">
                  <c:v>4</c:v>
                </c:pt>
                <c:pt idx="454">
                  <c:v>10</c:v>
                </c:pt>
                <c:pt idx="455">
                  <c:v>8</c:v>
                </c:pt>
                <c:pt idx="456">
                  <c:v>10</c:v>
                </c:pt>
                <c:pt idx="457">
                  <c:v>5</c:v>
                </c:pt>
                <c:pt idx="458">
                  <c:v>10</c:v>
                </c:pt>
                <c:pt idx="459">
                  <c:v>10</c:v>
                </c:pt>
                <c:pt idx="460">
                  <c:v>4</c:v>
                </c:pt>
                <c:pt idx="461">
                  <c:v>10</c:v>
                </c:pt>
                <c:pt idx="462">
                  <c:v>4</c:v>
                </c:pt>
                <c:pt idx="463">
                  <c:v>1</c:v>
                </c:pt>
                <c:pt idx="464">
                  <c:v>9</c:v>
                </c:pt>
                <c:pt idx="465">
                  <c:v>2</c:v>
                </c:pt>
                <c:pt idx="466">
                  <c:v>10</c:v>
                </c:pt>
                <c:pt idx="467">
                  <c:v>8</c:v>
                </c:pt>
                <c:pt idx="468">
                  <c:v>10</c:v>
                </c:pt>
                <c:pt idx="469">
                  <c:v>2</c:v>
                </c:pt>
                <c:pt idx="470">
                  <c:v>8</c:v>
                </c:pt>
                <c:pt idx="471">
                  <c:v>2</c:v>
                </c:pt>
                <c:pt idx="472">
                  <c:v>6</c:v>
                </c:pt>
                <c:pt idx="473">
                  <c:v>1</c:v>
                </c:pt>
                <c:pt idx="474">
                  <c:v>8</c:v>
                </c:pt>
                <c:pt idx="475">
                  <c:v>1</c:v>
                </c:pt>
                <c:pt idx="476">
                  <c:v>1</c:v>
                </c:pt>
                <c:pt idx="477">
                  <c:v>2</c:v>
                </c:pt>
                <c:pt idx="478">
                  <c:v>2</c:v>
                </c:pt>
                <c:pt idx="479">
                  <c:v>1</c:v>
                </c:pt>
                <c:pt idx="480">
                  <c:v>8</c:v>
                </c:pt>
                <c:pt idx="481">
                  <c:v>3</c:v>
                </c:pt>
                <c:pt idx="482">
                  <c:v>6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5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1</c:v>
                </c:pt>
                <c:pt idx="491">
                  <c:v>5</c:v>
                </c:pt>
                <c:pt idx="492">
                  <c:v>5</c:v>
                </c:pt>
                <c:pt idx="493">
                  <c:v>2</c:v>
                </c:pt>
                <c:pt idx="494">
                  <c:v>5</c:v>
                </c:pt>
                <c:pt idx="495">
                  <c:v>3</c:v>
                </c:pt>
                <c:pt idx="496">
                  <c:v>6</c:v>
                </c:pt>
                <c:pt idx="497">
                  <c:v>6</c:v>
                </c:pt>
                <c:pt idx="498">
                  <c:v>2</c:v>
                </c:pt>
                <c:pt idx="499">
                  <c:v>6</c:v>
                </c:pt>
                <c:pt idx="500">
                  <c:v>5</c:v>
                </c:pt>
                <c:pt idx="501">
                  <c:v>4</c:v>
                </c:pt>
                <c:pt idx="502">
                  <c:v>2</c:v>
                </c:pt>
                <c:pt idx="503">
                  <c:v>10</c:v>
                </c:pt>
                <c:pt idx="504">
                  <c:v>9</c:v>
                </c:pt>
                <c:pt idx="505">
                  <c:v>6</c:v>
                </c:pt>
                <c:pt idx="506">
                  <c:v>8</c:v>
                </c:pt>
                <c:pt idx="507">
                  <c:v>10</c:v>
                </c:pt>
                <c:pt idx="508">
                  <c:v>9</c:v>
                </c:pt>
                <c:pt idx="509">
                  <c:v>5</c:v>
                </c:pt>
                <c:pt idx="510">
                  <c:v>7</c:v>
                </c:pt>
                <c:pt idx="511">
                  <c:v>1</c:v>
                </c:pt>
                <c:pt idx="512">
                  <c:v>1</c:v>
                </c:pt>
                <c:pt idx="513">
                  <c:v>4</c:v>
                </c:pt>
                <c:pt idx="514">
                  <c:v>6</c:v>
                </c:pt>
                <c:pt idx="515">
                  <c:v>3</c:v>
                </c:pt>
                <c:pt idx="516">
                  <c:v>1</c:v>
                </c:pt>
                <c:pt idx="517">
                  <c:v>4</c:v>
                </c:pt>
                <c:pt idx="518">
                  <c:v>6</c:v>
                </c:pt>
                <c:pt idx="519">
                  <c:v>1</c:v>
                </c:pt>
                <c:pt idx="520">
                  <c:v>4</c:v>
                </c:pt>
                <c:pt idx="521">
                  <c:v>10</c:v>
                </c:pt>
                <c:pt idx="522">
                  <c:v>9</c:v>
                </c:pt>
                <c:pt idx="523">
                  <c:v>5</c:v>
                </c:pt>
                <c:pt idx="524">
                  <c:v>6</c:v>
                </c:pt>
                <c:pt idx="525">
                  <c:v>3</c:v>
                </c:pt>
                <c:pt idx="526">
                  <c:v>9</c:v>
                </c:pt>
                <c:pt idx="527">
                  <c:v>6</c:v>
                </c:pt>
                <c:pt idx="528">
                  <c:v>7</c:v>
                </c:pt>
                <c:pt idx="529">
                  <c:v>3</c:v>
                </c:pt>
                <c:pt idx="530">
                  <c:v>2</c:v>
                </c:pt>
                <c:pt idx="531">
                  <c:v>10</c:v>
                </c:pt>
                <c:pt idx="532">
                  <c:v>6</c:v>
                </c:pt>
                <c:pt idx="533">
                  <c:v>3</c:v>
                </c:pt>
                <c:pt idx="534">
                  <c:v>9</c:v>
                </c:pt>
                <c:pt idx="535">
                  <c:v>10</c:v>
                </c:pt>
                <c:pt idx="536">
                  <c:v>8</c:v>
                </c:pt>
                <c:pt idx="537">
                  <c:v>6</c:v>
                </c:pt>
                <c:pt idx="538">
                  <c:v>2</c:v>
                </c:pt>
                <c:pt idx="539">
                  <c:v>10</c:v>
                </c:pt>
                <c:pt idx="540">
                  <c:v>10</c:v>
                </c:pt>
                <c:pt idx="541">
                  <c:v>9</c:v>
                </c:pt>
                <c:pt idx="542">
                  <c:v>7</c:v>
                </c:pt>
                <c:pt idx="543">
                  <c:v>7</c:v>
                </c:pt>
                <c:pt idx="544">
                  <c:v>5</c:v>
                </c:pt>
                <c:pt idx="545">
                  <c:v>10</c:v>
                </c:pt>
                <c:pt idx="546">
                  <c:v>7</c:v>
                </c:pt>
                <c:pt idx="547">
                  <c:v>2</c:v>
                </c:pt>
                <c:pt idx="548">
                  <c:v>5</c:v>
                </c:pt>
                <c:pt idx="549">
                  <c:v>7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2</c:v>
                </c:pt>
                <c:pt idx="554">
                  <c:v>3</c:v>
                </c:pt>
                <c:pt idx="555">
                  <c:v>4</c:v>
                </c:pt>
                <c:pt idx="556">
                  <c:v>2</c:v>
                </c:pt>
                <c:pt idx="557">
                  <c:v>4</c:v>
                </c:pt>
                <c:pt idx="558">
                  <c:v>3</c:v>
                </c:pt>
                <c:pt idx="559">
                  <c:v>4</c:v>
                </c:pt>
                <c:pt idx="560">
                  <c:v>3</c:v>
                </c:pt>
                <c:pt idx="561">
                  <c:v>5</c:v>
                </c:pt>
                <c:pt idx="562">
                  <c:v>10</c:v>
                </c:pt>
                <c:pt idx="563">
                  <c:v>5</c:v>
                </c:pt>
                <c:pt idx="564">
                  <c:v>6</c:v>
                </c:pt>
                <c:pt idx="565">
                  <c:v>7</c:v>
                </c:pt>
                <c:pt idx="566">
                  <c:v>1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9</c:v>
                </c:pt>
                <c:pt idx="572">
                  <c:v>5</c:v>
                </c:pt>
                <c:pt idx="573">
                  <c:v>2</c:v>
                </c:pt>
                <c:pt idx="574">
                  <c:v>1</c:v>
                </c:pt>
                <c:pt idx="575">
                  <c:v>1</c:v>
                </c:pt>
                <c:pt idx="576">
                  <c:v>10</c:v>
                </c:pt>
                <c:pt idx="577">
                  <c:v>6</c:v>
                </c:pt>
                <c:pt idx="578">
                  <c:v>7</c:v>
                </c:pt>
                <c:pt idx="579">
                  <c:v>4</c:v>
                </c:pt>
                <c:pt idx="580">
                  <c:v>7</c:v>
                </c:pt>
                <c:pt idx="581">
                  <c:v>4</c:v>
                </c:pt>
                <c:pt idx="582">
                  <c:v>1</c:v>
                </c:pt>
                <c:pt idx="583">
                  <c:v>2</c:v>
                </c:pt>
                <c:pt idx="584">
                  <c:v>1</c:v>
                </c:pt>
                <c:pt idx="585">
                  <c:v>9</c:v>
                </c:pt>
                <c:pt idx="586">
                  <c:v>3</c:v>
                </c:pt>
                <c:pt idx="587">
                  <c:v>1</c:v>
                </c:pt>
                <c:pt idx="588">
                  <c:v>10</c:v>
                </c:pt>
                <c:pt idx="589">
                  <c:v>9</c:v>
                </c:pt>
                <c:pt idx="590">
                  <c:v>6</c:v>
                </c:pt>
                <c:pt idx="591">
                  <c:v>5</c:v>
                </c:pt>
                <c:pt idx="592">
                  <c:v>6</c:v>
                </c:pt>
                <c:pt idx="593">
                  <c:v>6</c:v>
                </c:pt>
                <c:pt idx="594">
                  <c:v>3</c:v>
                </c:pt>
                <c:pt idx="595">
                  <c:v>1</c:v>
                </c:pt>
                <c:pt idx="596">
                  <c:v>7</c:v>
                </c:pt>
                <c:pt idx="597">
                  <c:v>10</c:v>
                </c:pt>
                <c:pt idx="598">
                  <c:v>1</c:v>
                </c:pt>
                <c:pt idx="599">
                  <c:v>2</c:v>
                </c:pt>
                <c:pt idx="600">
                  <c:v>2</c:v>
                </c:pt>
                <c:pt idx="601">
                  <c:v>10</c:v>
                </c:pt>
                <c:pt idx="602">
                  <c:v>3</c:v>
                </c:pt>
                <c:pt idx="603">
                  <c:v>1</c:v>
                </c:pt>
                <c:pt idx="604">
                  <c:v>10</c:v>
                </c:pt>
                <c:pt idx="605">
                  <c:v>3</c:v>
                </c:pt>
                <c:pt idx="606">
                  <c:v>2</c:v>
                </c:pt>
                <c:pt idx="607">
                  <c:v>3</c:v>
                </c:pt>
                <c:pt idx="608">
                  <c:v>3</c:v>
                </c:pt>
                <c:pt idx="609">
                  <c:v>10</c:v>
                </c:pt>
                <c:pt idx="610">
                  <c:v>7</c:v>
                </c:pt>
                <c:pt idx="611">
                  <c:v>1</c:v>
                </c:pt>
                <c:pt idx="612">
                  <c:v>5</c:v>
                </c:pt>
                <c:pt idx="613">
                  <c:v>3</c:v>
                </c:pt>
                <c:pt idx="614">
                  <c:v>3</c:v>
                </c:pt>
                <c:pt idx="615">
                  <c:v>8</c:v>
                </c:pt>
                <c:pt idx="616">
                  <c:v>2</c:v>
                </c:pt>
                <c:pt idx="617">
                  <c:v>8</c:v>
                </c:pt>
                <c:pt idx="618">
                  <c:v>5</c:v>
                </c:pt>
                <c:pt idx="619">
                  <c:v>9</c:v>
                </c:pt>
                <c:pt idx="620">
                  <c:v>6</c:v>
                </c:pt>
                <c:pt idx="621">
                  <c:v>1</c:v>
                </c:pt>
                <c:pt idx="622">
                  <c:v>2</c:v>
                </c:pt>
                <c:pt idx="623">
                  <c:v>10</c:v>
                </c:pt>
                <c:pt idx="624">
                  <c:v>5</c:v>
                </c:pt>
                <c:pt idx="625">
                  <c:v>6</c:v>
                </c:pt>
                <c:pt idx="626">
                  <c:v>10</c:v>
                </c:pt>
                <c:pt idx="627">
                  <c:v>9</c:v>
                </c:pt>
                <c:pt idx="628">
                  <c:v>4</c:v>
                </c:pt>
                <c:pt idx="629">
                  <c:v>3</c:v>
                </c:pt>
                <c:pt idx="630">
                  <c:v>1</c:v>
                </c:pt>
                <c:pt idx="631">
                  <c:v>3</c:v>
                </c:pt>
                <c:pt idx="632">
                  <c:v>5</c:v>
                </c:pt>
                <c:pt idx="633">
                  <c:v>1</c:v>
                </c:pt>
                <c:pt idx="634">
                  <c:v>3</c:v>
                </c:pt>
                <c:pt idx="635">
                  <c:v>7</c:v>
                </c:pt>
                <c:pt idx="636">
                  <c:v>6</c:v>
                </c:pt>
                <c:pt idx="637">
                  <c:v>10</c:v>
                </c:pt>
                <c:pt idx="638">
                  <c:v>2</c:v>
                </c:pt>
                <c:pt idx="639">
                  <c:v>4</c:v>
                </c:pt>
                <c:pt idx="640">
                  <c:v>3</c:v>
                </c:pt>
                <c:pt idx="641">
                  <c:v>4</c:v>
                </c:pt>
                <c:pt idx="642">
                  <c:v>6</c:v>
                </c:pt>
                <c:pt idx="643">
                  <c:v>2</c:v>
                </c:pt>
                <c:pt idx="644">
                  <c:v>10</c:v>
                </c:pt>
                <c:pt idx="645">
                  <c:v>2</c:v>
                </c:pt>
                <c:pt idx="646">
                  <c:v>3</c:v>
                </c:pt>
                <c:pt idx="647">
                  <c:v>8</c:v>
                </c:pt>
                <c:pt idx="648">
                  <c:v>10</c:v>
                </c:pt>
                <c:pt idx="649">
                  <c:v>2</c:v>
                </c:pt>
                <c:pt idx="650">
                  <c:v>7</c:v>
                </c:pt>
                <c:pt idx="651">
                  <c:v>4</c:v>
                </c:pt>
                <c:pt idx="652">
                  <c:v>10</c:v>
                </c:pt>
                <c:pt idx="653">
                  <c:v>6</c:v>
                </c:pt>
                <c:pt idx="654">
                  <c:v>1</c:v>
                </c:pt>
                <c:pt idx="655">
                  <c:v>1</c:v>
                </c:pt>
                <c:pt idx="656">
                  <c:v>6</c:v>
                </c:pt>
                <c:pt idx="657">
                  <c:v>2</c:v>
                </c:pt>
                <c:pt idx="658">
                  <c:v>6</c:v>
                </c:pt>
                <c:pt idx="659">
                  <c:v>2</c:v>
                </c:pt>
                <c:pt idx="660">
                  <c:v>2</c:v>
                </c:pt>
                <c:pt idx="661">
                  <c:v>10</c:v>
                </c:pt>
                <c:pt idx="662">
                  <c:v>2</c:v>
                </c:pt>
                <c:pt idx="663">
                  <c:v>3</c:v>
                </c:pt>
                <c:pt idx="664">
                  <c:v>9</c:v>
                </c:pt>
                <c:pt idx="665">
                  <c:v>7</c:v>
                </c:pt>
                <c:pt idx="666">
                  <c:v>10</c:v>
                </c:pt>
                <c:pt idx="667">
                  <c:v>7</c:v>
                </c:pt>
                <c:pt idx="668">
                  <c:v>9</c:v>
                </c:pt>
                <c:pt idx="669">
                  <c:v>5</c:v>
                </c:pt>
                <c:pt idx="670">
                  <c:v>4</c:v>
                </c:pt>
                <c:pt idx="671">
                  <c:v>4</c:v>
                </c:pt>
                <c:pt idx="672">
                  <c:v>9</c:v>
                </c:pt>
                <c:pt idx="673">
                  <c:v>10</c:v>
                </c:pt>
                <c:pt idx="674">
                  <c:v>8</c:v>
                </c:pt>
                <c:pt idx="675">
                  <c:v>3</c:v>
                </c:pt>
                <c:pt idx="676">
                  <c:v>10</c:v>
                </c:pt>
                <c:pt idx="677">
                  <c:v>9</c:v>
                </c:pt>
                <c:pt idx="678">
                  <c:v>9</c:v>
                </c:pt>
                <c:pt idx="679">
                  <c:v>7</c:v>
                </c:pt>
                <c:pt idx="680">
                  <c:v>4</c:v>
                </c:pt>
                <c:pt idx="681">
                  <c:v>1</c:v>
                </c:pt>
                <c:pt idx="682">
                  <c:v>8</c:v>
                </c:pt>
                <c:pt idx="683">
                  <c:v>3</c:v>
                </c:pt>
                <c:pt idx="684">
                  <c:v>6</c:v>
                </c:pt>
                <c:pt idx="685">
                  <c:v>4</c:v>
                </c:pt>
                <c:pt idx="686">
                  <c:v>9</c:v>
                </c:pt>
                <c:pt idx="687">
                  <c:v>9</c:v>
                </c:pt>
                <c:pt idx="688">
                  <c:v>8</c:v>
                </c:pt>
                <c:pt idx="689">
                  <c:v>5</c:v>
                </c:pt>
                <c:pt idx="690">
                  <c:v>7</c:v>
                </c:pt>
                <c:pt idx="691">
                  <c:v>3</c:v>
                </c:pt>
                <c:pt idx="692">
                  <c:v>3</c:v>
                </c:pt>
                <c:pt idx="693">
                  <c:v>6</c:v>
                </c:pt>
                <c:pt idx="694">
                  <c:v>7</c:v>
                </c:pt>
                <c:pt idx="695">
                  <c:v>9</c:v>
                </c:pt>
                <c:pt idx="696">
                  <c:v>3</c:v>
                </c:pt>
                <c:pt idx="697">
                  <c:v>7</c:v>
                </c:pt>
                <c:pt idx="698">
                  <c:v>4</c:v>
                </c:pt>
                <c:pt idx="699">
                  <c:v>8</c:v>
                </c:pt>
                <c:pt idx="700">
                  <c:v>3</c:v>
                </c:pt>
                <c:pt idx="701">
                  <c:v>10</c:v>
                </c:pt>
                <c:pt idx="702">
                  <c:v>4</c:v>
                </c:pt>
                <c:pt idx="703">
                  <c:v>7</c:v>
                </c:pt>
                <c:pt idx="704">
                  <c:v>4</c:v>
                </c:pt>
                <c:pt idx="705">
                  <c:v>3</c:v>
                </c:pt>
                <c:pt idx="706">
                  <c:v>1</c:v>
                </c:pt>
                <c:pt idx="707">
                  <c:v>7</c:v>
                </c:pt>
                <c:pt idx="708">
                  <c:v>1</c:v>
                </c:pt>
                <c:pt idx="709">
                  <c:v>10</c:v>
                </c:pt>
                <c:pt idx="710">
                  <c:v>7</c:v>
                </c:pt>
                <c:pt idx="711">
                  <c:v>10</c:v>
                </c:pt>
                <c:pt idx="712">
                  <c:v>8</c:v>
                </c:pt>
                <c:pt idx="713">
                  <c:v>9</c:v>
                </c:pt>
                <c:pt idx="714">
                  <c:v>7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8</c:v>
                </c:pt>
                <c:pt idx="719">
                  <c:v>1</c:v>
                </c:pt>
                <c:pt idx="720">
                  <c:v>10</c:v>
                </c:pt>
                <c:pt idx="721">
                  <c:v>5</c:v>
                </c:pt>
                <c:pt idx="722">
                  <c:v>9</c:v>
                </c:pt>
                <c:pt idx="723">
                  <c:v>7</c:v>
                </c:pt>
                <c:pt idx="724">
                  <c:v>4</c:v>
                </c:pt>
                <c:pt idx="725">
                  <c:v>5</c:v>
                </c:pt>
                <c:pt idx="726">
                  <c:v>10</c:v>
                </c:pt>
                <c:pt idx="727">
                  <c:v>5</c:v>
                </c:pt>
                <c:pt idx="728">
                  <c:v>3</c:v>
                </c:pt>
                <c:pt idx="729">
                  <c:v>8</c:v>
                </c:pt>
                <c:pt idx="730">
                  <c:v>8</c:v>
                </c:pt>
                <c:pt idx="731">
                  <c:v>6</c:v>
                </c:pt>
                <c:pt idx="732">
                  <c:v>10</c:v>
                </c:pt>
                <c:pt idx="733">
                  <c:v>4</c:v>
                </c:pt>
                <c:pt idx="734">
                  <c:v>10</c:v>
                </c:pt>
                <c:pt idx="735">
                  <c:v>10</c:v>
                </c:pt>
                <c:pt idx="736">
                  <c:v>8</c:v>
                </c:pt>
                <c:pt idx="737">
                  <c:v>5</c:v>
                </c:pt>
                <c:pt idx="738">
                  <c:v>4</c:v>
                </c:pt>
                <c:pt idx="739">
                  <c:v>8</c:v>
                </c:pt>
                <c:pt idx="740">
                  <c:v>3</c:v>
                </c:pt>
                <c:pt idx="741">
                  <c:v>6</c:v>
                </c:pt>
                <c:pt idx="742">
                  <c:v>4</c:v>
                </c:pt>
                <c:pt idx="743">
                  <c:v>6</c:v>
                </c:pt>
                <c:pt idx="744">
                  <c:v>4</c:v>
                </c:pt>
                <c:pt idx="745">
                  <c:v>7</c:v>
                </c:pt>
                <c:pt idx="746">
                  <c:v>7</c:v>
                </c:pt>
                <c:pt idx="747">
                  <c:v>1</c:v>
                </c:pt>
                <c:pt idx="748">
                  <c:v>2</c:v>
                </c:pt>
                <c:pt idx="749">
                  <c:v>5</c:v>
                </c:pt>
                <c:pt idx="750">
                  <c:v>7</c:v>
                </c:pt>
                <c:pt idx="751">
                  <c:v>1</c:v>
                </c:pt>
                <c:pt idx="752">
                  <c:v>5</c:v>
                </c:pt>
                <c:pt idx="753">
                  <c:v>9</c:v>
                </c:pt>
                <c:pt idx="754">
                  <c:v>8</c:v>
                </c:pt>
                <c:pt idx="755">
                  <c:v>4</c:v>
                </c:pt>
                <c:pt idx="756">
                  <c:v>1</c:v>
                </c:pt>
                <c:pt idx="757">
                  <c:v>8</c:v>
                </c:pt>
                <c:pt idx="758">
                  <c:v>5</c:v>
                </c:pt>
                <c:pt idx="759">
                  <c:v>7</c:v>
                </c:pt>
                <c:pt idx="760">
                  <c:v>8</c:v>
                </c:pt>
                <c:pt idx="761">
                  <c:v>5</c:v>
                </c:pt>
                <c:pt idx="762">
                  <c:v>3</c:v>
                </c:pt>
                <c:pt idx="763">
                  <c:v>7</c:v>
                </c:pt>
                <c:pt idx="764">
                  <c:v>1</c:v>
                </c:pt>
                <c:pt idx="765">
                  <c:v>4</c:v>
                </c:pt>
                <c:pt idx="766">
                  <c:v>10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10</c:v>
                </c:pt>
                <c:pt idx="772">
                  <c:v>1</c:v>
                </c:pt>
                <c:pt idx="773">
                  <c:v>5</c:v>
                </c:pt>
                <c:pt idx="774">
                  <c:v>6</c:v>
                </c:pt>
                <c:pt idx="775">
                  <c:v>8</c:v>
                </c:pt>
                <c:pt idx="776">
                  <c:v>7</c:v>
                </c:pt>
                <c:pt idx="777">
                  <c:v>9</c:v>
                </c:pt>
                <c:pt idx="778">
                  <c:v>9</c:v>
                </c:pt>
                <c:pt idx="779">
                  <c:v>4</c:v>
                </c:pt>
                <c:pt idx="780">
                  <c:v>2</c:v>
                </c:pt>
                <c:pt idx="781">
                  <c:v>4</c:v>
                </c:pt>
                <c:pt idx="782">
                  <c:v>1</c:v>
                </c:pt>
                <c:pt idx="783">
                  <c:v>10</c:v>
                </c:pt>
                <c:pt idx="784">
                  <c:v>8</c:v>
                </c:pt>
                <c:pt idx="785">
                  <c:v>10</c:v>
                </c:pt>
                <c:pt idx="786">
                  <c:v>5</c:v>
                </c:pt>
                <c:pt idx="787">
                  <c:v>1</c:v>
                </c:pt>
                <c:pt idx="788">
                  <c:v>8</c:v>
                </c:pt>
                <c:pt idx="789">
                  <c:v>8</c:v>
                </c:pt>
                <c:pt idx="790">
                  <c:v>7</c:v>
                </c:pt>
                <c:pt idx="791">
                  <c:v>8</c:v>
                </c:pt>
                <c:pt idx="792">
                  <c:v>4</c:v>
                </c:pt>
                <c:pt idx="793">
                  <c:v>5</c:v>
                </c:pt>
                <c:pt idx="794">
                  <c:v>4</c:v>
                </c:pt>
                <c:pt idx="795">
                  <c:v>2</c:v>
                </c:pt>
                <c:pt idx="796">
                  <c:v>1</c:v>
                </c:pt>
                <c:pt idx="797">
                  <c:v>3</c:v>
                </c:pt>
                <c:pt idx="798">
                  <c:v>7</c:v>
                </c:pt>
                <c:pt idx="799">
                  <c:v>4</c:v>
                </c:pt>
                <c:pt idx="800">
                  <c:v>9</c:v>
                </c:pt>
                <c:pt idx="801">
                  <c:v>3</c:v>
                </c:pt>
                <c:pt idx="802">
                  <c:v>10</c:v>
                </c:pt>
                <c:pt idx="803">
                  <c:v>10</c:v>
                </c:pt>
                <c:pt idx="804">
                  <c:v>8</c:v>
                </c:pt>
                <c:pt idx="805">
                  <c:v>4</c:v>
                </c:pt>
                <c:pt idx="806">
                  <c:v>8</c:v>
                </c:pt>
                <c:pt idx="807">
                  <c:v>1</c:v>
                </c:pt>
                <c:pt idx="808">
                  <c:v>7</c:v>
                </c:pt>
                <c:pt idx="809">
                  <c:v>1</c:v>
                </c:pt>
                <c:pt idx="810">
                  <c:v>5</c:v>
                </c:pt>
                <c:pt idx="811">
                  <c:v>6</c:v>
                </c:pt>
                <c:pt idx="812">
                  <c:v>10</c:v>
                </c:pt>
                <c:pt idx="813">
                  <c:v>6</c:v>
                </c:pt>
                <c:pt idx="814">
                  <c:v>3</c:v>
                </c:pt>
                <c:pt idx="815">
                  <c:v>1</c:v>
                </c:pt>
                <c:pt idx="816">
                  <c:v>2</c:v>
                </c:pt>
                <c:pt idx="817">
                  <c:v>2</c:v>
                </c:pt>
                <c:pt idx="818">
                  <c:v>1</c:v>
                </c:pt>
                <c:pt idx="819">
                  <c:v>3</c:v>
                </c:pt>
                <c:pt idx="820">
                  <c:v>1</c:v>
                </c:pt>
                <c:pt idx="821">
                  <c:v>1</c:v>
                </c:pt>
                <c:pt idx="822">
                  <c:v>9</c:v>
                </c:pt>
                <c:pt idx="823">
                  <c:v>6</c:v>
                </c:pt>
                <c:pt idx="824">
                  <c:v>1</c:v>
                </c:pt>
                <c:pt idx="825">
                  <c:v>2</c:v>
                </c:pt>
                <c:pt idx="826">
                  <c:v>7</c:v>
                </c:pt>
                <c:pt idx="827">
                  <c:v>10</c:v>
                </c:pt>
                <c:pt idx="828">
                  <c:v>5</c:v>
                </c:pt>
                <c:pt idx="829">
                  <c:v>9</c:v>
                </c:pt>
                <c:pt idx="830">
                  <c:v>8</c:v>
                </c:pt>
                <c:pt idx="831">
                  <c:v>4</c:v>
                </c:pt>
                <c:pt idx="832">
                  <c:v>6</c:v>
                </c:pt>
                <c:pt idx="833">
                  <c:v>9</c:v>
                </c:pt>
                <c:pt idx="834">
                  <c:v>1</c:v>
                </c:pt>
                <c:pt idx="835">
                  <c:v>2</c:v>
                </c:pt>
                <c:pt idx="836">
                  <c:v>9</c:v>
                </c:pt>
                <c:pt idx="837">
                  <c:v>7</c:v>
                </c:pt>
                <c:pt idx="838">
                  <c:v>3</c:v>
                </c:pt>
                <c:pt idx="839">
                  <c:v>3</c:v>
                </c:pt>
                <c:pt idx="840">
                  <c:v>8</c:v>
                </c:pt>
                <c:pt idx="841">
                  <c:v>2</c:v>
                </c:pt>
                <c:pt idx="842">
                  <c:v>3</c:v>
                </c:pt>
                <c:pt idx="843">
                  <c:v>4</c:v>
                </c:pt>
                <c:pt idx="844">
                  <c:v>7</c:v>
                </c:pt>
                <c:pt idx="845">
                  <c:v>1</c:v>
                </c:pt>
                <c:pt idx="846">
                  <c:v>10</c:v>
                </c:pt>
                <c:pt idx="847">
                  <c:v>6</c:v>
                </c:pt>
                <c:pt idx="848">
                  <c:v>4</c:v>
                </c:pt>
                <c:pt idx="849">
                  <c:v>8</c:v>
                </c:pt>
                <c:pt idx="850">
                  <c:v>1</c:v>
                </c:pt>
                <c:pt idx="851">
                  <c:v>1</c:v>
                </c:pt>
                <c:pt idx="852">
                  <c:v>8</c:v>
                </c:pt>
                <c:pt idx="853">
                  <c:v>8</c:v>
                </c:pt>
                <c:pt idx="854">
                  <c:v>10</c:v>
                </c:pt>
                <c:pt idx="855">
                  <c:v>8</c:v>
                </c:pt>
                <c:pt idx="856">
                  <c:v>10</c:v>
                </c:pt>
                <c:pt idx="857">
                  <c:v>6</c:v>
                </c:pt>
                <c:pt idx="858">
                  <c:v>2</c:v>
                </c:pt>
                <c:pt idx="859">
                  <c:v>7</c:v>
                </c:pt>
                <c:pt idx="860">
                  <c:v>1</c:v>
                </c:pt>
                <c:pt idx="861">
                  <c:v>10</c:v>
                </c:pt>
                <c:pt idx="862">
                  <c:v>8</c:v>
                </c:pt>
                <c:pt idx="863">
                  <c:v>10</c:v>
                </c:pt>
                <c:pt idx="864">
                  <c:v>5</c:v>
                </c:pt>
                <c:pt idx="865">
                  <c:v>8</c:v>
                </c:pt>
                <c:pt idx="866">
                  <c:v>5</c:v>
                </c:pt>
                <c:pt idx="867">
                  <c:v>5</c:v>
                </c:pt>
                <c:pt idx="868">
                  <c:v>6</c:v>
                </c:pt>
                <c:pt idx="869">
                  <c:v>8</c:v>
                </c:pt>
                <c:pt idx="870">
                  <c:v>7</c:v>
                </c:pt>
                <c:pt idx="871">
                  <c:v>6</c:v>
                </c:pt>
                <c:pt idx="872">
                  <c:v>7</c:v>
                </c:pt>
                <c:pt idx="873">
                  <c:v>9</c:v>
                </c:pt>
                <c:pt idx="874">
                  <c:v>9</c:v>
                </c:pt>
                <c:pt idx="875">
                  <c:v>4</c:v>
                </c:pt>
                <c:pt idx="876">
                  <c:v>5</c:v>
                </c:pt>
                <c:pt idx="877">
                  <c:v>7</c:v>
                </c:pt>
                <c:pt idx="878">
                  <c:v>2</c:v>
                </c:pt>
                <c:pt idx="879">
                  <c:v>4</c:v>
                </c:pt>
                <c:pt idx="880">
                  <c:v>10</c:v>
                </c:pt>
                <c:pt idx="881">
                  <c:v>5</c:v>
                </c:pt>
                <c:pt idx="882">
                  <c:v>2</c:v>
                </c:pt>
                <c:pt idx="883">
                  <c:v>10</c:v>
                </c:pt>
                <c:pt idx="884">
                  <c:v>3</c:v>
                </c:pt>
                <c:pt idx="885">
                  <c:v>4</c:v>
                </c:pt>
                <c:pt idx="886">
                  <c:v>8</c:v>
                </c:pt>
                <c:pt idx="887">
                  <c:v>8</c:v>
                </c:pt>
                <c:pt idx="888">
                  <c:v>3</c:v>
                </c:pt>
                <c:pt idx="889">
                  <c:v>6</c:v>
                </c:pt>
                <c:pt idx="890">
                  <c:v>1</c:v>
                </c:pt>
                <c:pt idx="891">
                  <c:v>4</c:v>
                </c:pt>
                <c:pt idx="892">
                  <c:v>3</c:v>
                </c:pt>
                <c:pt idx="893">
                  <c:v>3</c:v>
                </c:pt>
                <c:pt idx="894">
                  <c:v>9</c:v>
                </c:pt>
                <c:pt idx="895">
                  <c:v>6</c:v>
                </c:pt>
                <c:pt idx="896">
                  <c:v>2</c:v>
                </c:pt>
                <c:pt idx="897">
                  <c:v>7</c:v>
                </c:pt>
                <c:pt idx="898">
                  <c:v>6</c:v>
                </c:pt>
                <c:pt idx="899">
                  <c:v>4</c:v>
                </c:pt>
                <c:pt idx="900">
                  <c:v>1</c:v>
                </c:pt>
                <c:pt idx="901">
                  <c:v>9</c:v>
                </c:pt>
                <c:pt idx="902">
                  <c:v>9</c:v>
                </c:pt>
                <c:pt idx="903">
                  <c:v>2</c:v>
                </c:pt>
                <c:pt idx="904">
                  <c:v>6</c:v>
                </c:pt>
                <c:pt idx="905">
                  <c:v>2</c:v>
                </c:pt>
                <c:pt idx="906">
                  <c:v>10</c:v>
                </c:pt>
                <c:pt idx="907">
                  <c:v>7</c:v>
                </c:pt>
                <c:pt idx="908">
                  <c:v>6</c:v>
                </c:pt>
                <c:pt idx="909">
                  <c:v>3</c:v>
                </c:pt>
                <c:pt idx="910">
                  <c:v>7</c:v>
                </c:pt>
                <c:pt idx="911">
                  <c:v>5</c:v>
                </c:pt>
                <c:pt idx="912">
                  <c:v>3</c:v>
                </c:pt>
                <c:pt idx="913">
                  <c:v>6</c:v>
                </c:pt>
                <c:pt idx="914">
                  <c:v>4</c:v>
                </c:pt>
                <c:pt idx="915">
                  <c:v>9</c:v>
                </c:pt>
                <c:pt idx="916">
                  <c:v>10</c:v>
                </c:pt>
                <c:pt idx="917">
                  <c:v>5</c:v>
                </c:pt>
                <c:pt idx="918">
                  <c:v>7</c:v>
                </c:pt>
                <c:pt idx="919">
                  <c:v>7</c:v>
                </c:pt>
                <c:pt idx="920">
                  <c:v>2</c:v>
                </c:pt>
                <c:pt idx="921">
                  <c:v>1</c:v>
                </c:pt>
                <c:pt idx="922">
                  <c:v>5</c:v>
                </c:pt>
                <c:pt idx="923">
                  <c:v>8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4</c:v>
                </c:pt>
                <c:pt idx="928">
                  <c:v>6</c:v>
                </c:pt>
                <c:pt idx="929">
                  <c:v>7</c:v>
                </c:pt>
                <c:pt idx="930">
                  <c:v>9</c:v>
                </c:pt>
                <c:pt idx="931">
                  <c:v>6</c:v>
                </c:pt>
                <c:pt idx="932">
                  <c:v>10</c:v>
                </c:pt>
                <c:pt idx="933">
                  <c:v>9</c:v>
                </c:pt>
                <c:pt idx="934">
                  <c:v>1</c:v>
                </c:pt>
                <c:pt idx="935">
                  <c:v>2</c:v>
                </c:pt>
                <c:pt idx="936">
                  <c:v>1</c:v>
                </c:pt>
                <c:pt idx="937">
                  <c:v>3</c:v>
                </c:pt>
                <c:pt idx="938">
                  <c:v>2</c:v>
                </c:pt>
                <c:pt idx="939">
                  <c:v>2</c:v>
                </c:pt>
                <c:pt idx="940">
                  <c:v>9</c:v>
                </c:pt>
                <c:pt idx="941">
                  <c:v>3</c:v>
                </c:pt>
                <c:pt idx="942">
                  <c:v>3</c:v>
                </c:pt>
                <c:pt idx="943">
                  <c:v>5</c:v>
                </c:pt>
                <c:pt idx="944">
                  <c:v>10</c:v>
                </c:pt>
                <c:pt idx="945">
                  <c:v>7</c:v>
                </c:pt>
                <c:pt idx="946">
                  <c:v>7</c:v>
                </c:pt>
                <c:pt idx="947">
                  <c:v>3</c:v>
                </c:pt>
                <c:pt idx="948">
                  <c:v>2</c:v>
                </c:pt>
                <c:pt idx="949">
                  <c:v>2</c:v>
                </c:pt>
                <c:pt idx="950">
                  <c:v>4</c:v>
                </c:pt>
                <c:pt idx="951">
                  <c:v>6</c:v>
                </c:pt>
                <c:pt idx="952">
                  <c:v>1</c:v>
                </c:pt>
                <c:pt idx="953">
                  <c:v>1</c:v>
                </c:pt>
                <c:pt idx="954">
                  <c:v>4</c:v>
                </c:pt>
                <c:pt idx="955">
                  <c:v>4</c:v>
                </c:pt>
                <c:pt idx="956">
                  <c:v>9</c:v>
                </c:pt>
                <c:pt idx="957">
                  <c:v>7</c:v>
                </c:pt>
                <c:pt idx="958">
                  <c:v>7</c:v>
                </c:pt>
                <c:pt idx="959">
                  <c:v>5</c:v>
                </c:pt>
                <c:pt idx="960">
                  <c:v>2</c:v>
                </c:pt>
                <c:pt idx="961">
                  <c:v>8</c:v>
                </c:pt>
                <c:pt idx="962">
                  <c:v>10</c:v>
                </c:pt>
                <c:pt idx="963">
                  <c:v>8</c:v>
                </c:pt>
                <c:pt idx="964">
                  <c:v>5</c:v>
                </c:pt>
                <c:pt idx="965">
                  <c:v>10</c:v>
                </c:pt>
                <c:pt idx="966">
                  <c:v>2</c:v>
                </c:pt>
                <c:pt idx="967">
                  <c:v>10</c:v>
                </c:pt>
                <c:pt idx="968">
                  <c:v>1</c:v>
                </c:pt>
                <c:pt idx="969">
                  <c:v>1</c:v>
                </c:pt>
                <c:pt idx="970">
                  <c:v>10</c:v>
                </c:pt>
                <c:pt idx="971">
                  <c:v>1</c:v>
                </c:pt>
                <c:pt idx="972">
                  <c:v>1</c:v>
                </c:pt>
                <c:pt idx="973">
                  <c:v>7</c:v>
                </c:pt>
              </c:numCache>
            </c:numRef>
          </c:xVal>
          <c:yVal>
            <c:numRef>
              <c:f>'Clean data'!$M$2:$M$975</c:f>
              <c:numCache>
                <c:formatCode>General</c:formatCode>
                <c:ptCount val="974"/>
                <c:pt idx="0">
                  <c:v>548.97149999999999</c:v>
                </c:pt>
                <c:pt idx="1">
                  <c:v>80.22</c:v>
                </c:pt>
                <c:pt idx="2">
                  <c:v>340.52550000000002</c:v>
                </c:pt>
                <c:pt idx="3">
                  <c:v>634.37850000000003</c:v>
                </c:pt>
                <c:pt idx="4">
                  <c:v>627.61649999999997</c:v>
                </c:pt>
                <c:pt idx="5">
                  <c:v>433.69200000000001</c:v>
                </c:pt>
                <c:pt idx="6">
                  <c:v>772.38</c:v>
                </c:pt>
                <c:pt idx="7">
                  <c:v>76.146000000000001</c:v>
                </c:pt>
                <c:pt idx="8">
                  <c:v>172.74600000000001</c:v>
                </c:pt>
                <c:pt idx="9">
                  <c:v>60.816000000000003</c:v>
                </c:pt>
                <c:pt idx="10">
                  <c:v>107.142</c:v>
                </c:pt>
                <c:pt idx="11">
                  <c:v>246.48750000000001</c:v>
                </c:pt>
                <c:pt idx="12">
                  <c:v>453.495</c:v>
                </c:pt>
                <c:pt idx="13">
                  <c:v>590.43600000000004</c:v>
                </c:pt>
                <c:pt idx="14">
                  <c:v>506.63549999999998</c:v>
                </c:pt>
                <c:pt idx="15">
                  <c:v>457.44299999999998</c:v>
                </c:pt>
                <c:pt idx="16">
                  <c:v>172.2105</c:v>
                </c:pt>
                <c:pt idx="17">
                  <c:v>84.63</c:v>
                </c:pt>
                <c:pt idx="18">
                  <c:v>451.71</c:v>
                </c:pt>
                <c:pt idx="19">
                  <c:v>277.137</c:v>
                </c:pt>
                <c:pt idx="20">
                  <c:v>181.44</c:v>
                </c:pt>
                <c:pt idx="21">
                  <c:v>279.18450000000001</c:v>
                </c:pt>
                <c:pt idx="22">
                  <c:v>441.75599999999997</c:v>
                </c:pt>
                <c:pt idx="23">
                  <c:v>35.195999999999998</c:v>
                </c:pt>
                <c:pt idx="24">
                  <c:v>184.107</c:v>
                </c:pt>
                <c:pt idx="25">
                  <c:v>463.89</c:v>
                </c:pt>
                <c:pt idx="26">
                  <c:v>235.2105</c:v>
                </c:pt>
                <c:pt idx="27">
                  <c:v>494.1825</c:v>
                </c:pt>
                <c:pt idx="28">
                  <c:v>737.76149999999996</c:v>
                </c:pt>
                <c:pt idx="29">
                  <c:v>417.56400000000002</c:v>
                </c:pt>
                <c:pt idx="30">
                  <c:v>71.525999999999996</c:v>
                </c:pt>
                <c:pt idx="31">
                  <c:v>328.755</c:v>
                </c:pt>
                <c:pt idx="32">
                  <c:v>575.31600000000003</c:v>
                </c:pt>
                <c:pt idx="33">
                  <c:v>461.32799999999997</c:v>
                </c:pt>
                <c:pt idx="34">
                  <c:v>253.00800000000001</c:v>
                </c:pt>
                <c:pt idx="35">
                  <c:v>91.055999999999997</c:v>
                </c:pt>
                <c:pt idx="36">
                  <c:v>117.831</c:v>
                </c:pt>
                <c:pt idx="37">
                  <c:v>435.45600000000002</c:v>
                </c:pt>
                <c:pt idx="38">
                  <c:v>829.08</c:v>
                </c:pt>
                <c:pt idx="39">
                  <c:v>32.277000000000001</c:v>
                </c:pt>
                <c:pt idx="40">
                  <c:v>394.63200000000001</c:v>
                </c:pt>
                <c:pt idx="41">
                  <c:v>535.72050000000002</c:v>
                </c:pt>
                <c:pt idx="42">
                  <c:v>189.09450000000001</c:v>
                </c:pt>
                <c:pt idx="43">
                  <c:v>119.259</c:v>
                </c:pt>
                <c:pt idx="44">
                  <c:v>867.61500000000001</c:v>
                </c:pt>
                <c:pt idx="45">
                  <c:v>671.79</c:v>
                </c:pt>
                <c:pt idx="46">
                  <c:v>234.0975</c:v>
                </c:pt>
                <c:pt idx="47">
                  <c:v>75.054000000000002</c:v>
                </c:pt>
                <c:pt idx="48">
                  <c:v>16.201499999999999</c:v>
                </c:pt>
                <c:pt idx="49">
                  <c:v>33.936</c:v>
                </c:pt>
                <c:pt idx="50">
                  <c:v>722.23199999999997</c:v>
                </c:pt>
                <c:pt idx="51">
                  <c:v>93.114000000000004</c:v>
                </c:pt>
                <c:pt idx="52">
                  <c:v>752.64</c:v>
                </c:pt>
                <c:pt idx="53">
                  <c:v>759.67499999999995</c:v>
                </c:pt>
                <c:pt idx="54">
                  <c:v>192.84299999999999</c:v>
                </c:pt>
                <c:pt idx="55">
                  <c:v>77.930999999999997</c:v>
                </c:pt>
                <c:pt idx="56">
                  <c:v>520.41150000000005</c:v>
                </c:pt>
                <c:pt idx="57">
                  <c:v>166.005</c:v>
                </c:pt>
                <c:pt idx="58">
                  <c:v>318.108</c:v>
                </c:pt>
                <c:pt idx="59">
                  <c:v>166.63499999999999</c:v>
                </c:pt>
                <c:pt idx="60">
                  <c:v>70.287000000000006</c:v>
                </c:pt>
                <c:pt idx="61">
                  <c:v>614.94299999999998</c:v>
                </c:pt>
                <c:pt idx="62">
                  <c:v>827.08500000000004</c:v>
                </c:pt>
                <c:pt idx="63">
                  <c:v>19.246500000000001</c:v>
                </c:pt>
                <c:pt idx="64">
                  <c:v>939.54</c:v>
                </c:pt>
                <c:pt idx="65">
                  <c:v>652.26</c:v>
                </c:pt>
                <c:pt idx="66">
                  <c:v>152.83799999999999</c:v>
                </c:pt>
                <c:pt idx="67">
                  <c:v>478.233</c:v>
                </c:pt>
                <c:pt idx="68">
                  <c:v>705.63149999999996</c:v>
                </c:pt>
                <c:pt idx="69">
                  <c:v>437.32499999999999</c:v>
                </c:pt>
                <c:pt idx="70">
                  <c:v>463.428</c:v>
                </c:pt>
                <c:pt idx="71">
                  <c:v>189.09450000000001</c:v>
                </c:pt>
                <c:pt idx="72">
                  <c:v>822.255</c:v>
                </c:pt>
                <c:pt idx="73">
                  <c:v>106.995</c:v>
                </c:pt>
                <c:pt idx="74">
                  <c:v>624.89700000000005</c:v>
                </c:pt>
                <c:pt idx="75">
                  <c:v>304.54199999999997</c:v>
                </c:pt>
                <c:pt idx="76">
                  <c:v>161.69999999999999</c:v>
                </c:pt>
                <c:pt idx="77">
                  <c:v>337.512</c:v>
                </c:pt>
                <c:pt idx="78">
                  <c:v>256.77749999999997</c:v>
                </c:pt>
                <c:pt idx="79">
                  <c:v>610.49099999999999</c:v>
                </c:pt>
                <c:pt idx="80">
                  <c:v>401.73</c:v>
                </c:pt>
                <c:pt idx="81">
                  <c:v>362.94299999999998</c:v>
                </c:pt>
                <c:pt idx="82">
                  <c:v>44.593499999999999</c:v>
                </c:pt>
                <c:pt idx="83">
                  <c:v>485.03699999999998</c:v>
                </c:pt>
                <c:pt idx="84">
                  <c:v>198.99600000000001</c:v>
                </c:pt>
                <c:pt idx="85">
                  <c:v>471.03</c:v>
                </c:pt>
                <c:pt idx="86">
                  <c:v>161.553</c:v>
                </c:pt>
                <c:pt idx="87">
                  <c:v>608.202</c:v>
                </c:pt>
                <c:pt idx="88">
                  <c:v>94.237499999999997</c:v>
                </c:pt>
                <c:pt idx="89">
                  <c:v>102.018</c:v>
                </c:pt>
                <c:pt idx="90">
                  <c:v>922.63499999999999</c:v>
                </c:pt>
                <c:pt idx="91">
                  <c:v>78.435000000000002</c:v>
                </c:pt>
                <c:pt idx="92">
                  <c:v>166.16249999999999</c:v>
                </c:pt>
                <c:pt idx="93">
                  <c:v>521.01</c:v>
                </c:pt>
                <c:pt idx="94">
                  <c:v>51.145499999999998</c:v>
                </c:pt>
                <c:pt idx="95">
                  <c:v>742.29750000000001</c:v>
                </c:pt>
                <c:pt idx="96">
                  <c:v>218.01150000000001</c:v>
                </c:pt>
                <c:pt idx="97">
                  <c:v>367.03800000000001</c:v>
                </c:pt>
                <c:pt idx="98">
                  <c:v>223.07249999999999</c:v>
                </c:pt>
                <c:pt idx="99">
                  <c:v>931.03499999999997</c:v>
                </c:pt>
                <c:pt idx="100">
                  <c:v>172.494</c:v>
                </c:pt>
                <c:pt idx="101">
                  <c:v>391.41899999999998</c:v>
                </c:pt>
                <c:pt idx="102">
                  <c:v>321.11099999999999</c:v>
                </c:pt>
                <c:pt idx="103">
                  <c:v>34.628999999999998</c:v>
                </c:pt>
                <c:pt idx="104">
                  <c:v>309.36149999999998</c:v>
                </c:pt>
                <c:pt idx="105">
                  <c:v>535.37400000000002</c:v>
                </c:pt>
                <c:pt idx="106">
                  <c:v>548.76149999999996</c:v>
                </c:pt>
                <c:pt idx="107">
                  <c:v>763.46550000000002</c:v>
                </c:pt>
                <c:pt idx="108">
                  <c:v>85.113</c:v>
                </c:pt>
                <c:pt idx="109">
                  <c:v>115.185</c:v>
                </c:pt>
                <c:pt idx="110">
                  <c:v>53.927999999999997</c:v>
                </c:pt>
                <c:pt idx="111">
                  <c:v>115.08</c:v>
                </c:pt>
                <c:pt idx="112">
                  <c:v>112.224</c:v>
                </c:pt>
                <c:pt idx="113">
                  <c:v>836.30399999999997</c:v>
                </c:pt>
                <c:pt idx="114">
                  <c:v>419.83199999999999</c:v>
                </c:pt>
                <c:pt idx="115">
                  <c:v>944.62199999999996</c:v>
                </c:pt>
                <c:pt idx="116">
                  <c:v>536.84400000000005</c:v>
                </c:pt>
                <c:pt idx="117">
                  <c:v>474.34800000000001</c:v>
                </c:pt>
                <c:pt idx="118">
                  <c:v>688.62149999999997</c:v>
                </c:pt>
                <c:pt idx="119">
                  <c:v>169.3125</c:v>
                </c:pt>
                <c:pt idx="120">
                  <c:v>299.8485</c:v>
                </c:pt>
                <c:pt idx="121">
                  <c:v>575.73599999999999</c:v>
                </c:pt>
                <c:pt idx="122">
                  <c:v>853.14599999999996</c:v>
                </c:pt>
                <c:pt idx="123">
                  <c:v>291.20699999999999</c:v>
                </c:pt>
                <c:pt idx="124">
                  <c:v>580.41899999999998</c:v>
                </c:pt>
                <c:pt idx="125">
                  <c:v>146.328</c:v>
                </c:pt>
                <c:pt idx="126">
                  <c:v>550.93499999999995</c:v>
                </c:pt>
                <c:pt idx="127">
                  <c:v>512.19000000000005</c:v>
                </c:pt>
                <c:pt idx="128">
                  <c:v>284.19299999999998</c:v>
                </c:pt>
                <c:pt idx="129">
                  <c:v>216.846</c:v>
                </c:pt>
                <c:pt idx="130">
                  <c:v>545.05499999999995</c:v>
                </c:pt>
                <c:pt idx="131">
                  <c:v>609</c:v>
                </c:pt>
                <c:pt idx="132">
                  <c:v>942.9</c:v>
                </c:pt>
                <c:pt idx="133">
                  <c:v>950.25</c:v>
                </c:pt>
                <c:pt idx="134">
                  <c:v>720.3</c:v>
                </c:pt>
                <c:pt idx="135">
                  <c:v>31.930499999999999</c:v>
                </c:pt>
                <c:pt idx="136">
                  <c:v>491.08499999999998</c:v>
                </c:pt>
                <c:pt idx="137">
                  <c:v>291.43799999999999</c:v>
                </c:pt>
                <c:pt idx="138">
                  <c:v>316.47000000000003</c:v>
                </c:pt>
                <c:pt idx="139">
                  <c:v>277.78800000000001</c:v>
                </c:pt>
                <c:pt idx="140">
                  <c:v>603.62400000000002</c:v>
                </c:pt>
                <c:pt idx="141">
                  <c:v>272.66399999999999</c:v>
                </c:pt>
                <c:pt idx="142">
                  <c:v>384.46800000000002</c:v>
                </c:pt>
                <c:pt idx="143">
                  <c:v>254.01599999999999</c:v>
                </c:pt>
                <c:pt idx="144">
                  <c:v>786.61800000000005</c:v>
                </c:pt>
                <c:pt idx="145">
                  <c:v>103.824</c:v>
                </c:pt>
                <c:pt idx="146">
                  <c:v>680.14800000000002</c:v>
                </c:pt>
                <c:pt idx="147">
                  <c:v>484.52249999999998</c:v>
                </c:pt>
                <c:pt idx="148">
                  <c:v>75.778499999999994</c:v>
                </c:pt>
                <c:pt idx="149">
                  <c:v>263.97000000000003</c:v>
                </c:pt>
                <c:pt idx="150">
                  <c:v>918.72900000000004</c:v>
                </c:pt>
                <c:pt idx="151">
                  <c:v>588.35699999999997</c:v>
                </c:pt>
                <c:pt idx="152">
                  <c:v>362.71199999999999</c:v>
                </c:pt>
                <c:pt idx="153">
                  <c:v>66.874499999999998</c:v>
                </c:pt>
                <c:pt idx="154">
                  <c:v>160.44</c:v>
                </c:pt>
                <c:pt idx="155">
                  <c:v>418.95</c:v>
                </c:pt>
                <c:pt idx="156">
                  <c:v>357.58800000000002</c:v>
                </c:pt>
                <c:pt idx="157">
                  <c:v>1003.59</c:v>
                </c:pt>
                <c:pt idx="158">
                  <c:v>1039.29</c:v>
                </c:pt>
                <c:pt idx="159">
                  <c:v>323.06400000000002</c:v>
                </c:pt>
                <c:pt idx="160">
                  <c:v>510.97199999999998</c:v>
                </c:pt>
                <c:pt idx="161">
                  <c:v>367.55250000000001</c:v>
                </c:pt>
                <c:pt idx="162">
                  <c:v>420.26249999999999</c:v>
                </c:pt>
                <c:pt idx="163">
                  <c:v>175.14</c:v>
                </c:pt>
                <c:pt idx="164">
                  <c:v>333.20699999999999</c:v>
                </c:pt>
                <c:pt idx="165">
                  <c:v>166.23599999999999</c:v>
                </c:pt>
                <c:pt idx="166">
                  <c:v>319.78800000000001</c:v>
                </c:pt>
                <c:pt idx="167">
                  <c:v>186.22800000000001</c:v>
                </c:pt>
                <c:pt idx="168">
                  <c:v>165.4485</c:v>
                </c:pt>
                <c:pt idx="169">
                  <c:v>465.44400000000002</c:v>
                </c:pt>
                <c:pt idx="170">
                  <c:v>273.42</c:v>
                </c:pt>
                <c:pt idx="171">
                  <c:v>472.31099999999998</c:v>
                </c:pt>
                <c:pt idx="172">
                  <c:v>323.14800000000002</c:v>
                </c:pt>
                <c:pt idx="173">
                  <c:v>288.20400000000001</c:v>
                </c:pt>
                <c:pt idx="174">
                  <c:v>56.951999999999998</c:v>
                </c:pt>
                <c:pt idx="175">
                  <c:v>195.17400000000001</c:v>
                </c:pt>
                <c:pt idx="176">
                  <c:v>77.773499999999999</c:v>
                </c:pt>
                <c:pt idx="177">
                  <c:v>242.67599999999999</c:v>
                </c:pt>
                <c:pt idx="178">
                  <c:v>154.392</c:v>
                </c:pt>
                <c:pt idx="179">
                  <c:v>829.71</c:v>
                </c:pt>
                <c:pt idx="180">
                  <c:v>107.31</c:v>
                </c:pt>
                <c:pt idx="181">
                  <c:v>171.72749999999999</c:v>
                </c:pt>
                <c:pt idx="182">
                  <c:v>78.004499999999993</c:v>
                </c:pt>
                <c:pt idx="183">
                  <c:v>91.77</c:v>
                </c:pt>
                <c:pt idx="184">
                  <c:v>26.554500000000001</c:v>
                </c:pt>
                <c:pt idx="185">
                  <c:v>174.3</c:v>
                </c:pt>
                <c:pt idx="186">
                  <c:v>374.79750000000001</c:v>
                </c:pt>
                <c:pt idx="187">
                  <c:v>120.645</c:v>
                </c:pt>
                <c:pt idx="188">
                  <c:v>241.458</c:v>
                </c:pt>
                <c:pt idx="189">
                  <c:v>451.36349999999999</c:v>
                </c:pt>
                <c:pt idx="190">
                  <c:v>271.95</c:v>
                </c:pt>
                <c:pt idx="191">
                  <c:v>93.292500000000004</c:v>
                </c:pt>
                <c:pt idx="192">
                  <c:v>217.6335</c:v>
                </c:pt>
                <c:pt idx="193">
                  <c:v>629.84249999999997</c:v>
                </c:pt>
                <c:pt idx="194">
                  <c:v>299.565</c:v>
                </c:pt>
                <c:pt idx="195">
                  <c:v>95.665499999999994</c:v>
                </c:pt>
                <c:pt idx="196">
                  <c:v>942.44849999999997</c:v>
                </c:pt>
                <c:pt idx="197">
                  <c:v>247.87350000000001</c:v>
                </c:pt>
                <c:pt idx="198">
                  <c:v>881.30700000000002</c:v>
                </c:pt>
                <c:pt idx="199">
                  <c:v>484.89</c:v>
                </c:pt>
                <c:pt idx="200">
                  <c:v>217.6335</c:v>
                </c:pt>
                <c:pt idx="201">
                  <c:v>19.193999999999999</c:v>
                </c:pt>
                <c:pt idx="202">
                  <c:v>130.04249999999999</c:v>
                </c:pt>
                <c:pt idx="203">
                  <c:v>298.11599999999999</c:v>
                </c:pt>
                <c:pt idx="204">
                  <c:v>796.90800000000002</c:v>
                </c:pt>
                <c:pt idx="205">
                  <c:v>180.62100000000001</c:v>
                </c:pt>
                <c:pt idx="206">
                  <c:v>285.70499999999998</c:v>
                </c:pt>
                <c:pt idx="207">
                  <c:v>456.28800000000001</c:v>
                </c:pt>
                <c:pt idx="208">
                  <c:v>62.002499999999998</c:v>
                </c:pt>
                <c:pt idx="209">
                  <c:v>13.167</c:v>
                </c:pt>
                <c:pt idx="210">
                  <c:v>90.825000000000003</c:v>
                </c:pt>
                <c:pt idx="211">
                  <c:v>183.036</c:v>
                </c:pt>
                <c:pt idx="212">
                  <c:v>655.54650000000004</c:v>
                </c:pt>
                <c:pt idx="213">
                  <c:v>155.65199999999999</c:v>
                </c:pt>
                <c:pt idx="214">
                  <c:v>571.41</c:v>
                </c:pt>
                <c:pt idx="215">
                  <c:v>532.72799999999995</c:v>
                </c:pt>
                <c:pt idx="216">
                  <c:v>170.87700000000001</c:v>
                </c:pt>
                <c:pt idx="217">
                  <c:v>33.358499999999999</c:v>
                </c:pt>
                <c:pt idx="218">
                  <c:v>794.65049999999997</c:v>
                </c:pt>
                <c:pt idx="219">
                  <c:v>310.04399999999998</c:v>
                </c:pt>
                <c:pt idx="220">
                  <c:v>545.37</c:v>
                </c:pt>
                <c:pt idx="221">
                  <c:v>195.59399999999999</c:v>
                </c:pt>
                <c:pt idx="222">
                  <c:v>91.402500000000003</c:v>
                </c:pt>
                <c:pt idx="223">
                  <c:v>232.155</c:v>
                </c:pt>
                <c:pt idx="224">
                  <c:v>69.405000000000001</c:v>
                </c:pt>
                <c:pt idx="225">
                  <c:v>94.174499999999995</c:v>
                </c:pt>
                <c:pt idx="226">
                  <c:v>235.68299999999999</c:v>
                </c:pt>
                <c:pt idx="227">
                  <c:v>125.517</c:v>
                </c:pt>
                <c:pt idx="228">
                  <c:v>195.72</c:v>
                </c:pt>
                <c:pt idx="229">
                  <c:v>263.13</c:v>
                </c:pt>
                <c:pt idx="230">
                  <c:v>788.50800000000004</c:v>
                </c:pt>
                <c:pt idx="231">
                  <c:v>399.75599999999997</c:v>
                </c:pt>
                <c:pt idx="232">
                  <c:v>256.41000000000003</c:v>
                </c:pt>
                <c:pt idx="233">
                  <c:v>94.185000000000002</c:v>
                </c:pt>
                <c:pt idx="234">
                  <c:v>326.42399999999998</c:v>
                </c:pt>
                <c:pt idx="235">
                  <c:v>536.99099999999999</c:v>
                </c:pt>
                <c:pt idx="236">
                  <c:v>439.89749999999998</c:v>
                </c:pt>
                <c:pt idx="237">
                  <c:v>369.495</c:v>
                </c:pt>
                <c:pt idx="238">
                  <c:v>30.219000000000001</c:v>
                </c:pt>
                <c:pt idx="239">
                  <c:v>99.75</c:v>
                </c:pt>
                <c:pt idx="240">
                  <c:v>494.76</c:v>
                </c:pt>
                <c:pt idx="241">
                  <c:v>137.00399999999999</c:v>
                </c:pt>
                <c:pt idx="242">
                  <c:v>69.667500000000004</c:v>
                </c:pt>
                <c:pt idx="243">
                  <c:v>163.233</c:v>
                </c:pt>
                <c:pt idx="244">
                  <c:v>135.44999999999999</c:v>
                </c:pt>
                <c:pt idx="245">
                  <c:v>276.94799999999998</c:v>
                </c:pt>
                <c:pt idx="246">
                  <c:v>709.31700000000001</c:v>
                </c:pt>
                <c:pt idx="247">
                  <c:v>69.09</c:v>
                </c:pt>
                <c:pt idx="248">
                  <c:v>160.86000000000001</c:v>
                </c:pt>
                <c:pt idx="249">
                  <c:v>233.52</c:v>
                </c:pt>
                <c:pt idx="250">
                  <c:v>57.172499999999999</c:v>
                </c:pt>
                <c:pt idx="251">
                  <c:v>723.24</c:v>
                </c:pt>
                <c:pt idx="252">
                  <c:v>148.97399999999999</c:v>
                </c:pt>
                <c:pt idx="253">
                  <c:v>783.3</c:v>
                </c:pt>
                <c:pt idx="254">
                  <c:v>373.17</c:v>
                </c:pt>
                <c:pt idx="255">
                  <c:v>354.00749999999999</c:v>
                </c:pt>
                <c:pt idx="256">
                  <c:v>44.351999999999997</c:v>
                </c:pt>
                <c:pt idx="257">
                  <c:v>203.553</c:v>
                </c:pt>
                <c:pt idx="258">
                  <c:v>25.263000000000002</c:v>
                </c:pt>
                <c:pt idx="259">
                  <c:v>628.173</c:v>
                </c:pt>
                <c:pt idx="260">
                  <c:v>352.5795</c:v>
                </c:pt>
                <c:pt idx="261">
                  <c:v>229.11</c:v>
                </c:pt>
                <c:pt idx="262">
                  <c:v>400.76400000000001</c:v>
                </c:pt>
                <c:pt idx="263">
                  <c:v>745.39499999999998</c:v>
                </c:pt>
                <c:pt idx="264">
                  <c:v>462.21</c:v>
                </c:pt>
                <c:pt idx="265">
                  <c:v>587.66399999999999</c:v>
                </c:pt>
                <c:pt idx="266">
                  <c:v>38.85</c:v>
                </c:pt>
                <c:pt idx="267">
                  <c:v>16.106999999999999</c:v>
                </c:pt>
                <c:pt idx="268">
                  <c:v>628.92899999999997</c:v>
                </c:pt>
                <c:pt idx="269">
                  <c:v>200.214</c:v>
                </c:pt>
                <c:pt idx="270">
                  <c:v>350.07</c:v>
                </c:pt>
                <c:pt idx="271">
                  <c:v>78.602999999999994</c:v>
                </c:pt>
                <c:pt idx="272">
                  <c:v>224.4375</c:v>
                </c:pt>
                <c:pt idx="273">
                  <c:v>356.54849999999999</c:v>
                </c:pt>
                <c:pt idx="274">
                  <c:v>697.36800000000005</c:v>
                </c:pt>
                <c:pt idx="275">
                  <c:v>423.15</c:v>
                </c:pt>
                <c:pt idx="276">
                  <c:v>204.69749999999999</c:v>
                </c:pt>
                <c:pt idx="277">
                  <c:v>65.603999999999999</c:v>
                </c:pt>
                <c:pt idx="278">
                  <c:v>76.355999999999995</c:v>
                </c:pt>
                <c:pt idx="279">
                  <c:v>190.155</c:v>
                </c:pt>
                <c:pt idx="280">
                  <c:v>121.128</c:v>
                </c:pt>
                <c:pt idx="281">
                  <c:v>493.79399999999998</c:v>
                </c:pt>
                <c:pt idx="282">
                  <c:v>252.042</c:v>
                </c:pt>
                <c:pt idx="283">
                  <c:v>93.040499999999994</c:v>
                </c:pt>
                <c:pt idx="284">
                  <c:v>209.62200000000001</c:v>
                </c:pt>
                <c:pt idx="285">
                  <c:v>40.960500000000003</c:v>
                </c:pt>
                <c:pt idx="286">
                  <c:v>51.040500000000002</c:v>
                </c:pt>
                <c:pt idx="287">
                  <c:v>214.99799999999999</c:v>
                </c:pt>
                <c:pt idx="288">
                  <c:v>125.664</c:v>
                </c:pt>
                <c:pt idx="289">
                  <c:v>530.66999999999996</c:v>
                </c:pt>
                <c:pt idx="290">
                  <c:v>295.69049999999999</c:v>
                </c:pt>
                <c:pt idx="291">
                  <c:v>745.83600000000001</c:v>
                </c:pt>
                <c:pt idx="292">
                  <c:v>83.412000000000006</c:v>
                </c:pt>
                <c:pt idx="293">
                  <c:v>172.011</c:v>
                </c:pt>
                <c:pt idx="294">
                  <c:v>503.55900000000003</c:v>
                </c:pt>
                <c:pt idx="295">
                  <c:v>145.59299999999999</c:v>
                </c:pt>
                <c:pt idx="296">
                  <c:v>74.707499999999996</c:v>
                </c:pt>
                <c:pt idx="297">
                  <c:v>146.94749999999999</c:v>
                </c:pt>
                <c:pt idx="298">
                  <c:v>820.36500000000001</c:v>
                </c:pt>
                <c:pt idx="299">
                  <c:v>208.67699999999999</c:v>
                </c:pt>
                <c:pt idx="300">
                  <c:v>392.64749999999998</c:v>
                </c:pt>
                <c:pt idx="301">
                  <c:v>218.0745</c:v>
                </c:pt>
                <c:pt idx="302">
                  <c:v>185.09399999999999</c:v>
                </c:pt>
                <c:pt idx="303">
                  <c:v>216.6885</c:v>
                </c:pt>
                <c:pt idx="304">
                  <c:v>41.390999999999998</c:v>
                </c:pt>
                <c:pt idx="305">
                  <c:v>96.138000000000005</c:v>
                </c:pt>
                <c:pt idx="306">
                  <c:v>324.29250000000002</c:v>
                </c:pt>
                <c:pt idx="307">
                  <c:v>135.57599999999999</c:v>
                </c:pt>
                <c:pt idx="308">
                  <c:v>410.50799999999998</c:v>
                </c:pt>
                <c:pt idx="309">
                  <c:v>523.84500000000003</c:v>
                </c:pt>
                <c:pt idx="310">
                  <c:v>395.892</c:v>
                </c:pt>
                <c:pt idx="311">
                  <c:v>214.74600000000001</c:v>
                </c:pt>
                <c:pt idx="312">
                  <c:v>152.71199999999999</c:v>
                </c:pt>
                <c:pt idx="313">
                  <c:v>208.089</c:v>
                </c:pt>
                <c:pt idx="314">
                  <c:v>103.63500000000001</c:v>
                </c:pt>
                <c:pt idx="315">
                  <c:v>404.35500000000002</c:v>
                </c:pt>
                <c:pt idx="316">
                  <c:v>49.308</c:v>
                </c:pt>
                <c:pt idx="317">
                  <c:v>77.174999999999997</c:v>
                </c:pt>
                <c:pt idx="318">
                  <c:v>149.36250000000001</c:v>
                </c:pt>
                <c:pt idx="319">
                  <c:v>721.98</c:v>
                </c:pt>
                <c:pt idx="320">
                  <c:v>365.08499999999998</c:v>
                </c:pt>
                <c:pt idx="321">
                  <c:v>150.0975</c:v>
                </c:pt>
                <c:pt idx="322">
                  <c:v>404.649</c:v>
                </c:pt>
                <c:pt idx="323">
                  <c:v>411.37950000000001</c:v>
                </c:pt>
                <c:pt idx="324">
                  <c:v>565.21500000000003</c:v>
                </c:pt>
                <c:pt idx="325">
                  <c:v>509.40750000000003</c:v>
                </c:pt>
                <c:pt idx="326">
                  <c:v>140.64750000000001</c:v>
                </c:pt>
                <c:pt idx="327">
                  <c:v>736.43849999999998</c:v>
                </c:pt>
                <c:pt idx="328">
                  <c:v>75.547499999999999</c:v>
                </c:pt>
                <c:pt idx="329">
                  <c:v>749.7</c:v>
                </c:pt>
                <c:pt idx="330">
                  <c:v>191.24700000000001</c:v>
                </c:pt>
                <c:pt idx="331">
                  <c:v>141.75</c:v>
                </c:pt>
                <c:pt idx="332">
                  <c:v>1042.6500000000001</c:v>
                </c:pt>
                <c:pt idx="333">
                  <c:v>379.92149999999998</c:v>
                </c:pt>
                <c:pt idx="334">
                  <c:v>402.26549999999997</c:v>
                </c:pt>
                <c:pt idx="335">
                  <c:v>255.15</c:v>
                </c:pt>
                <c:pt idx="336">
                  <c:v>31.751999999999999</c:v>
                </c:pt>
                <c:pt idx="337">
                  <c:v>374.38799999999998</c:v>
                </c:pt>
                <c:pt idx="338">
                  <c:v>394.27499999999998</c:v>
                </c:pt>
                <c:pt idx="339">
                  <c:v>1002.12</c:v>
                </c:pt>
                <c:pt idx="340">
                  <c:v>86.625</c:v>
                </c:pt>
                <c:pt idx="341">
                  <c:v>78.718500000000006</c:v>
                </c:pt>
                <c:pt idx="342">
                  <c:v>793.548</c:v>
                </c:pt>
                <c:pt idx="343">
                  <c:v>209.559</c:v>
                </c:pt>
                <c:pt idx="344">
                  <c:v>461.286</c:v>
                </c:pt>
                <c:pt idx="345">
                  <c:v>173.208</c:v>
                </c:pt>
                <c:pt idx="346">
                  <c:v>343.05599999999998</c:v>
                </c:pt>
                <c:pt idx="347">
                  <c:v>484.97399999999999</c:v>
                </c:pt>
                <c:pt idx="348">
                  <c:v>276.94799999999998</c:v>
                </c:pt>
                <c:pt idx="349">
                  <c:v>150.78</c:v>
                </c:pt>
                <c:pt idx="350">
                  <c:v>203.17500000000001</c:v>
                </c:pt>
                <c:pt idx="351">
                  <c:v>193.011</c:v>
                </c:pt>
                <c:pt idx="352">
                  <c:v>128.01599999999999</c:v>
                </c:pt>
                <c:pt idx="353">
                  <c:v>441.69299999999998</c:v>
                </c:pt>
                <c:pt idx="354">
                  <c:v>265.10399999999998</c:v>
                </c:pt>
                <c:pt idx="355">
                  <c:v>352.22250000000003</c:v>
                </c:pt>
                <c:pt idx="356">
                  <c:v>507.67500000000001</c:v>
                </c:pt>
                <c:pt idx="357">
                  <c:v>334.34100000000001</c:v>
                </c:pt>
                <c:pt idx="358">
                  <c:v>701.85149999999999</c:v>
                </c:pt>
                <c:pt idx="359">
                  <c:v>407.31599999999997</c:v>
                </c:pt>
                <c:pt idx="360">
                  <c:v>99.33</c:v>
                </c:pt>
                <c:pt idx="361">
                  <c:v>345.786</c:v>
                </c:pt>
                <c:pt idx="362">
                  <c:v>55.881</c:v>
                </c:pt>
                <c:pt idx="363">
                  <c:v>314.53800000000001</c:v>
                </c:pt>
                <c:pt idx="364">
                  <c:v>214.935</c:v>
                </c:pt>
                <c:pt idx="365">
                  <c:v>79.611000000000004</c:v>
                </c:pt>
                <c:pt idx="366">
                  <c:v>294.65100000000001</c:v>
                </c:pt>
                <c:pt idx="367">
                  <c:v>339.36</c:v>
                </c:pt>
                <c:pt idx="368">
                  <c:v>510.9615</c:v>
                </c:pt>
                <c:pt idx="369">
                  <c:v>133.917</c:v>
                </c:pt>
                <c:pt idx="370">
                  <c:v>253.512</c:v>
                </c:pt>
                <c:pt idx="371">
                  <c:v>398.47500000000002</c:v>
                </c:pt>
                <c:pt idx="372">
                  <c:v>80.661000000000001</c:v>
                </c:pt>
                <c:pt idx="373">
                  <c:v>548.73</c:v>
                </c:pt>
                <c:pt idx="374">
                  <c:v>83.727000000000004</c:v>
                </c:pt>
                <c:pt idx="375">
                  <c:v>406.875</c:v>
                </c:pt>
                <c:pt idx="376">
                  <c:v>284.91750000000002</c:v>
                </c:pt>
                <c:pt idx="377">
                  <c:v>128.4255</c:v>
                </c:pt>
                <c:pt idx="378">
                  <c:v>258.678</c:v>
                </c:pt>
                <c:pt idx="379">
                  <c:v>181.81800000000001</c:v>
                </c:pt>
                <c:pt idx="380">
                  <c:v>248.40899999999999</c:v>
                </c:pt>
                <c:pt idx="381">
                  <c:v>194.124</c:v>
                </c:pt>
                <c:pt idx="382">
                  <c:v>208.6875</c:v>
                </c:pt>
                <c:pt idx="383">
                  <c:v>718.75649999999996</c:v>
                </c:pt>
                <c:pt idx="384">
                  <c:v>282.49200000000002</c:v>
                </c:pt>
                <c:pt idx="385">
                  <c:v>72.397499999999994</c:v>
                </c:pt>
                <c:pt idx="386">
                  <c:v>288.58199999999999</c:v>
                </c:pt>
                <c:pt idx="387">
                  <c:v>237.42599999999999</c:v>
                </c:pt>
                <c:pt idx="388">
                  <c:v>125.05500000000001</c:v>
                </c:pt>
                <c:pt idx="389">
                  <c:v>359.20499999999998</c:v>
                </c:pt>
                <c:pt idx="390">
                  <c:v>45.927</c:v>
                </c:pt>
                <c:pt idx="391">
                  <c:v>110.0925</c:v>
                </c:pt>
                <c:pt idx="392">
                  <c:v>81.396000000000001</c:v>
                </c:pt>
                <c:pt idx="393">
                  <c:v>427.81200000000001</c:v>
                </c:pt>
                <c:pt idx="394">
                  <c:v>100.91549999999999</c:v>
                </c:pt>
                <c:pt idx="395">
                  <c:v>190.596</c:v>
                </c:pt>
                <c:pt idx="396">
                  <c:v>85.585499999999996</c:v>
                </c:pt>
                <c:pt idx="397">
                  <c:v>120.16200000000001</c:v>
                </c:pt>
                <c:pt idx="398">
                  <c:v>185.36699999999999</c:v>
                </c:pt>
                <c:pt idx="399">
                  <c:v>121.59</c:v>
                </c:pt>
                <c:pt idx="400">
                  <c:v>264.75749999999999</c:v>
                </c:pt>
                <c:pt idx="401">
                  <c:v>1020.705</c:v>
                </c:pt>
                <c:pt idx="402">
                  <c:v>213.52799999999999</c:v>
                </c:pt>
                <c:pt idx="403">
                  <c:v>17.094000000000001</c:v>
                </c:pt>
                <c:pt idx="404">
                  <c:v>390.79950000000002</c:v>
                </c:pt>
                <c:pt idx="405">
                  <c:v>65.740499999999997</c:v>
                </c:pt>
                <c:pt idx="406">
                  <c:v>353.16750000000002</c:v>
                </c:pt>
                <c:pt idx="407">
                  <c:v>951.82500000000005</c:v>
                </c:pt>
                <c:pt idx="408">
                  <c:v>145.06800000000001</c:v>
                </c:pt>
                <c:pt idx="409">
                  <c:v>90.867000000000004</c:v>
                </c:pt>
                <c:pt idx="410">
                  <c:v>147.798</c:v>
                </c:pt>
                <c:pt idx="411">
                  <c:v>702.21900000000005</c:v>
                </c:pt>
                <c:pt idx="412">
                  <c:v>49.811999999999998</c:v>
                </c:pt>
                <c:pt idx="413">
                  <c:v>937.81799999999998</c:v>
                </c:pt>
                <c:pt idx="414">
                  <c:v>348.30599999999998</c:v>
                </c:pt>
                <c:pt idx="415">
                  <c:v>214.137</c:v>
                </c:pt>
                <c:pt idx="416">
                  <c:v>71.567999999999998</c:v>
                </c:pt>
                <c:pt idx="417">
                  <c:v>343.22399999999999</c:v>
                </c:pt>
                <c:pt idx="418">
                  <c:v>91.56</c:v>
                </c:pt>
                <c:pt idx="419">
                  <c:v>742.81200000000001</c:v>
                </c:pt>
                <c:pt idx="420">
                  <c:v>843.03449999999998</c:v>
                </c:pt>
                <c:pt idx="421">
                  <c:v>13.419</c:v>
                </c:pt>
                <c:pt idx="422">
                  <c:v>140.38499999999999</c:v>
                </c:pt>
                <c:pt idx="423">
                  <c:v>20.107500000000002</c:v>
                </c:pt>
                <c:pt idx="424">
                  <c:v>290.43</c:v>
                </c:pt>
                <c:pt idx="425">
                  <c:v>28.423500000000001</c:v>
                </c:pt>
                <c:pt idx="426">
                  <c:v>41.076000000000001</c:v>
                </c:pt>
                <c:pt idx="427">
                  <c:v>470.673</c:v>
                </c:pt>
                <c:pt idx="428">
                  <c:v>138.66300000000001</c:v>
                </c:pt>
                <c:pt idx="429">
                  <c:v>333.95249999999999</c:v>
                </c:pt>
                <c:pt idx="430">
                  <c:v>26.25</c:v>
                </c:pt>
                <c:pt idx="431">
                  <c:v>87.233999999999995</c:v>
                </c:pt>
                <c:pt idx="432">
                  <c:v>155.19</c:v>
                </c:pt>
                <c:pt idx="433">
                  <c:v>731.43</c:v>
                </c:pt>
                <c:pt idx="434">
                  <c:v>833.59500000000003</c:v>
                </c:pt>
                <c:pt idx="435">
                  <c:v>488.98500000000001</c:v>
                </c:pt>
                <c:pt idx="436">
                  <c:v>37.6845</c:v>
                </c:pt>
                <c:pt idx="437">
                  <c:v>212.73</c:v>
                </c:pt>
                <c:pt idx="438">
                  <c:v>767.02499999999998</c:v>
                </c:pt>
                <c:pt idx="439">
                  <c:v>310.58999999999997</c:v>
                </c:pt>
                <c:pt idx="440">
                  <c:v>23.751000000000001</c:v>
                </c:pt>
                <c:pt idx="441">
                  <c:v>269.53500000000003</c:v>
                </c:pt>
                <c:pt idx="442">
                  <c:v>273.05250000000001</c:v>
                </c:pt>
                <c:pt idx="443">
                  <c:v>233.226</c:v>
                </c:pt>
                <c:pt idx="444">
                  <c:v>22.658999999999999</c:v>
                </c:pt>
                <c:pt idx="445">
                  <c:v>103.782</c:v>
                </c:pt>
                <c:pt idx="446">
                  <c:v>527.75099999999998</c:v>
                </c:pt>
                <c:pt idx="447">
                  <c:v>168.21</c:v>
                </c:pt>
                <c:pt idx="448">
                  <c:v>452.86500000000001</c:v>
                </c:pt>
                <c:pt idx="449">
                  <c:v>609.58799999999997</c:v>
                </c:pt>
                <c:pt idx="450">
                  <c:v>338.31</c:v>
                </c:pt>
                <c:pt idx="451">
                  <c:v>205.31700000000001</c:v>
                </c:pt>
                <c:pt idx="452">
                  <c:v>174.61500000000001</c:v>
                </c:pt>
                <c:pt idx="453">
                  <c:v>353.09399999999999</c:v>
                </c:pt>
                <c:pt idx="454">
                  <c:v>360.88499999999999</c:v>
                </c:pt>
                <c:pt idx="455">
                  <c:v>554.14800000000002</c:v>
                </c:pt>
                <c:pt idx="456">
                  <c:v>344.4</c:v>
                </c:pt>
                <c:pt idx="457">
                  <c:v>194.98500000000001</c:v>
                </c:pt>
                <c:pt idx="458">
                  <c:v>633.99</c:v>
                </c:pt>
                <c:pt idx="459">
                  <c:v>388.29</c:v>
                </c:pt>
                <c:pt idx="460">
                  <c:v>207.858</c:v>
                </c:pt>
                <c:pt idx="461">
                  <c:v>431.44499999999999</c:v>
                </c:pt>
                <c:pt idx="462">
                  <c:v>156.03</c:v>
                </c:pt>
                <c:pt idx="463">
                  <c:v>24.108000000000001</c:v>
                </c:pt>
                <c:pt idx="464">
                  <c:v>734.07600000000002</c:v>
                </c:pt>
                <c:pt idx="465">
                  <c:v>72.87</c:v>
                </c:pt>
                <c:pt idx="466">
                  <c:v>206.43</c:v>
                </c:pt>
                <c:pt idx="467">
                  <c:v>212.68799999999999</c:v>
                </c:pt>
                <c:pt idx="468">
                  <c:v>127.26</c:v>
                </c:pt>
                <c:pt idx="469">
                  <c:v>209.76900000000001</c:v>
                </c:pt>
                <c:pt idx="470">
                  <c:v>637.72799999999995</c:v>
                </c:pt>
                <c:pt idx="471">
                  <c:v>132.762</c:v>
                </c:pt>
                <c:pt idx="472">
                  <c:v>568.51199999999994</c:v>
                </c:pt>
                <c:pt idx="473">
                  <c:v>103.0365</c:v>
                </c:pt>
                <c:pt idx="474">
                  <c:v>432.76799999999997</c:v>
                </c:pt>
                <c:pt idx="475">
                  <c:v>77.668499999999995</c:v>
                </c:pt>
                <c:pt idx="476">
                  <c:v>33.494999999999997</c:v>
                </c:pt>
                <c:pt idx="477">
                  <c:v>145.74</c:v>
                </c:pt>
                <c:pt idx="478">
                  <c:v>195.95099999999999</c:v>
                </c:pt>
                <c:pt idx="479">
                  <c:v>92.872500000000002</c:v>
                </c:pt>
                <c:pt idx="480">
                  <c:v>203.11199999999999</c:v>
                </c:pt>
                <c:pt idx="481">
                  <c:v>152.77500000000001</c:v>
                </c:pt>
                <c:pt idx="482">
                  <c:v>529.51499999999999</c:v>
                </c:pt>
                <c:pt idx="483">
                  <c:v>321.77249999999998</c:v>
                </c:pt>
                <c:pt idx="484">
                  <c:v>100.485</c:v>
                </c:pt>
                <c:pt idx="485">
                  <c:v>666.93899999999996</c:v>
                </c:pt>
                <c:pt idx="486">
                  <c:v>225.2775</c:v>
                </c:pt>
                <c:pt idx="487">
                  <c:v>398.95800000000003</c:v>
                </c:pt>
                <c:pt idx="488">
                  <c:v>731.6925</c:v>
                </c:pt>
                <c:pt idx="489">
                  <c:v>429.16649999999998</c:v>
                </c:pt>
                <c:pt idx="490">
                  <c:v>54.043500000000002</c:v>
                </c:pt>
                <c:pt idx="491">
                  <c:v>288.01499999999999</c:v>
                </c:pt>
                <c:pt idx="492">
                  <c:v>206.79750000000001</c:v>
                </c:pt>
                <c:pt idx="493">
                  <c:v>72.933000000000007</c:v>
                </c:pt>
                <c:pt idx="494">
                  <c:v>377.58</c:v>
                </c:pt>
                <c:pt idx="495">
                  <c:v>143.98650000000001</c:v>
                </c:pt>
                <c:pt idx="496">
                  <c:v>523.971</c:v>
                </c:pt>
                <c:pt idx="497">
                  <c:v>235.87200000000001</c:v>
                </c:pt>
                <c:pt idx="498">
                  <c:v>132.02699999999999</c:v>
                </c:pt>
                <c:pt idx="499">
                  <c:v>514.77300000000002</c:v>
                </c:pt>
                <c:pt idx="500">
                  <c:v>479.90249999999997</c:v>
                </c:pt>
                <c:pt idx="501">
                  <c:v>164.68199999999999</c:v>
                </c:pt>
                <c:pt idx="502">
                  <c:v>125.706</c:v>
                </c:pt>
                <c:pt idx="503">
                  <c:v>570.78</c:v>
                </c:pt>
                <c:pt idx="504">
                  <c:v>926.95050000000003</c:v>
                </c:pt>
                <c:pt idx="505">
                  <c:v>160.209</c:v>
                </c:pt>
                <c:pt idx="506">
                  <c:v>728.11199999999997</c:v>
                </c:pt>
                <c:pt idx="507">
                  <c:v>240.97499999999999</c:v>
                </c:pt>
                <c:pt idx="508">
                  <c:v>154.12950000000001</c:v>
                </c:pt>
                <c:pt idx="509">
                  <c:v>148.68</c:v>
                </c:pt>
                <c:pt idx="510">
                  <c:v>122.5245</c:v>
                </c:pt>
                <c:pt idx="511">
                  <c:v>77.658000000000001</c:v>
                </c:pt>
                <c:pt idx="512">
                  <c:v>102.837</c:v>
                </c:pt>
                <c:pt idx="513">
                  <c:v>306.81</c:v>
                </c:pt>
                <c:pt idx="514">
                  <c:v>551.12400000000002</c:v>
                </c:pt>
                <c:pt idx="515">
                  <c:v>96.641999999999996</c:v>
                </c:pt>
                <c:pt idx="516">
                  <c:v>79.674000000000007</c:v>
                </c:pt>
                <c:pt idx="517">
                  <c:v>84.756</c:v>
                </c:pt>
                <c:pt idx="518">
                  <c:v>118.251</c:v>
                </c:pt>
                <c:pt idx="519">
                  <c:v>74.760000000000005</c:v>
                </c:pt>
                <c:pt idx="520">
                  <c:v>163.00200000000001</c:v>
                </c:pt>
                <c:pt idx="521">
                  <c:v>308.91000000000003</c:v>
                </c:pt>
                <c:pt idx="522">
                  <c:v>575.97749999999996</c:v>
                </c:pt>
                <c:pt idx="523">
                  <c:v>270.58499999999998</c:v>
                </c:pt>
                <c:pt idx="524">
                  <c:v>416.178</c:v>
                </c:pt>
                <c:pt idx="525">
                  <c:v>180.40049999999999</c:v>
                </c:pt>
                <c:pt idx="526">
                  <c:v>513.22950000000003</c:v>
                </c:pt>
                <c:pt idx="527">
                  <c:v>139.923</c:v>
                </c:pt>
                <c:pt idx="528">
                  <c:v>142.00200000000001</c:v>
                </c:pt>
                <c:pt idx="529">
                  <c:v>118.062</c:v>
                </c:pt>
                <c:pt idx="530">
                  <c:v>151.28399999999999</c:v>
                </c:pt>
                <c:pt idx="531">
                  <c:v>1034.46</c:v>
                </c:pt>
                <c:pt idx="532">
                  <c:v>262.45800000000003</c:v>
                </c:pt>
                <c:pt idx="533">
                  <c:v>228.12299999999999</c:v>
                </c:pt>
                <c:pt idx="534">
                  <c:v>203.93100000000001</c:v>
                </c:pt>
                <c:pt idx="535">
                  <c:v>936.6</c:v>
                </c:pt>
                <c:pt idx="536">
                  <c:v>356.32799999999997</c:v>
                </c:pt>
                <c:pt idx="537">
                  <c:v>469.41300000000001</c:v>
                </c:pt>
                <c:pt idx="538">
                  <c:v>208.42500000000001</c:v>
                </c:pt>
                <c:pt idx="539">
                  <c:v>852.70500000000004</c:v>
                </c:pt>
                <c:pt idx="540">
                  <c:v>517.96500000000003</c:v>
                </c:pt>
                <c:pt idx="541">
                  <c:v>621.24300000000005</c:v>
                </c:pt>
                <c:pt idx="542">
                  <c:v>586.971</c:v>
                </c:pt>
                <c:pt idx="543">
                  <c:v>543.75300000000004</c:v>
                </c:pt>
                <c:pt idx="544">
                  <c:v>430.71</c:v>
                </c:pt>
                <c:pt idx="545">
                  <c:v>280.03500000000003</c:v>
                </c:pt>
                <c:pt idx="546">
                  <c:v>74.455500000000001</c:v>
                </c:pt>
                <c:pt idx="547">
                  <c:v>152.01900000000001</c:v>
                </c:pt>
                <c:pt idx="548">
                  <c:v>451.02749999999997</c:v>
                </c:pt>
                <c:pt idx="549">
                  <c:v>597.62850000000003</c:v>
                </c:pt>
                <c:pt idx="550">
                  <c:v>253.26</c:v>
                </c:pt>
                <c:pt idx="551">
                  <c:v>133.434</c:v>
                </c:pt>
                <c:pt idx="552">
                  <c:v>269.93400000000003</c:v>
                </c:pt>
                <c:pt idx="553">
                  <c:v>145.971</c:v>
                </c:pt>
                <c:pt idx="554">
                  <c:v>85.742999999999995</c:v>
                </c:pt>
                <c:pt idx="555">
                  <c:v>326.25599999999997</c:v>
                </c:pt>
                <c:pt idx="556">
                  <c:v>195.25800000000001</c:v>
                </c:pt>
                <c:pt idx="557">
                  <c:v>75.936000000000007</c:v>
                </c:pt>
                <c:pt idx="558">
                  <c:v>198.63900000000001</c:v>
                </c:pt>
                <c:pt idx="559">
                  <c:v>217.18199999999999</c:v>
                </c:pt>
                <c:pt idx="560">
                  <c:v>164.87100000000001</c:v>
                </c:pt>
                <c:pt idx="561">
                  <c:v>226.065</c:v>
                </c:pt>
                <c:pt idx="562">
                  <c:v>625.90499999999997</c:v>
                </c:pt>
                <c:pt idx="563">
                  <c:v>76.754999999999995</c:v>
                </c:pt>
                <c:pt idx="564">
                  <c:v>293.13900000000001</c:v>
                </c:pt>
                <c:pt idx="565">
                  <c:v>178.16399999999999</c:v>
                </c:pt>
                <c:pt idx="566">
                  <c:v>47.859000000000002</c:v>
                </c:pt>
                <c:pt idx="567">
                  <c:v>236.88</c:v>
                </c:pt>
                <c:pt idx="568">
                  <c:v>304.92</c:v>
                </c:pt>
                <c:pt idx="569">
                  <c:v>46.683</c:v>
                </c:pt>
                <c:pt idx="570">
                  <c:v>164.43</c:v>
                </c:pt>
                <c:pt idx="571">
                  <c:v>440.93700000000001</c:v>
                </c:pt>
                <c:pt idx="572">
                  <c:v>193.46250000000001</c:v>
                </c:pt>
                <c:pt idx="573">
                  <c:v>147.672</c:v>
                </c:pt>
                <c:pt idx="574">
                  <c:v>87.233999999999995</c:v>
                </c:pt>
                <c:pt idx="575">
                  <c:v>68.239500000000007</c:v>
                </c:pt>
                <c:pt idx="576">
                  <c:v>814.38</c:v>
                </c:pt>
                <c:pt idx="577">
                  <c:v>343.41300000000001</c:v>
                </c:pt>
                <c:pt idx="578">
                  <c:v>381.39150000000001</c:v>
                </c:pt>
                <c:pt idx="579">
                  <c:v>133.35</c:v>
                </c:pt>
                <c:pt idx="580">
                  <c:v>394.32749999999999</c:v>
                </c:pt>
                <c:pt idx="581">
                  <c:v>209.11799999999999</c:v>
                </c:pt>
                <c:pt idx="582">
                  <c:v>32.140500000000003</c:v>
                </c:pt>
                <c:pt idx="583">
                  <c:v>121.569</c:v>
                </c:pt>
                <c:pt idx="584">
                  <c:v>30.408000000000001</c:v>
                </c:pt>
                <c:pt idx="585">
                  <c:v>935.26649999999995</c:v>
                </c:pt>
                <c:pt idx="586">
                  <c:v>293.64299999999997</c:v>
                </c:pt>
                <c:pt idx="587">
                  <c:v>84.976500000000001</c:v>
                </c:pt>
                <c:pt idx="588">
                  <c:v>708.22500000000002</c:v>
                </c:pt>
                <c:pt idx="589">
                  <c:v>365.904</c:v>
                </c:pt>
                <c:pt idx="590">
                  <c:v>457.38</c:v>
                </c:pt>
                <c:pt idx="591">
                  <c:v>461.52749999999997</c:v>
                </c:pt>
                <c:pt idx="592">
                  <c:v>620.73900000000003</c:v>
                </c:pt>
                <c:pt idx="593">
                  <c:v>273.798</c:v>
                </c:pt>
                <c:pt idx="594">
                  <c:v>225.792</c:v>
                </c:pt>
                <c:pt idx="595">
                  <c:v>96.1905</c:v>
                </c:pt>
                <c:pt idx="596">
                  <c:v>695.23649999999998</c:v>
                </c:pt>
                <c:pt idx="597">
                  <c:v>874.125</c:v>
                </c:pt>
                <c:pt idx="598">
                  <c:v>95.917500000000004</c:v>
                </c:pt>
                <c:pt idx="599">
                  <c:v>165.648</c:v>
                </c:pt>
                <c:pt idx="600">
                  <c:v>127.827</c:v>
                </c:pt>
                <c:pt idx="601">
                  <c:v>867.09</c:v>
                </c:pt>
                <c:pt idx="602">
                  <c:v>167.89500000000001</c:v>
                </c:pt>
                <c:pt idx="603">
                  <c:v>12.6945</c:v>
                </c:pt>
                <c:pt idx="604">
                  <c:v>673.995</c:v>
                </c:pt>
                <c:pt idx="605">
                  <c:v>246.6765</c:v>
                </c:pt>
                <c:pt idx="606">
                  <c:v>175.917</c:v>
                </c:pt>
                <c:pt idx="607">
                  <c:v>314.05500000000001</c:v>
                </c:pt>
                <c:pt idx="608">
                  <c:v>251.7165</c:v>
                </c:pt>
                <c:pt idx="609">
                  <c:v>697.93499999999995</c:v>
                </c:pt>
                <c:pt idx="610">
                  <c:v>212.7825</c:v>
                </c:pt>
                <c:pt idx="611">
                  <c:v>48.51</c:v>
                </c:pt>
                <c:pt idx="612">
                  <c:v>92.557500000000005</c:v>
                </c:pt>
                <c:pt idx="613">
                  <c:v>165.12299999999999</c:v>
                </c:pt>
                <c:pt idx="614">
                  <c:v>311.18849999999998</c:v>
                </c:pt>
                <c:pt idx="615">
                  <c:v>743.82</c:v>
                </c:pt>
                <c:pt idx="616">
                  <c:v>116.907</c:v>
                </c:pt>
                <c:pt idx="617">
                  <c:v>609.16800000000001</c:v>
                </c:pt>
                <c:pt idx="618">
                  <c:v>63.262500000000003</c:v>
                </c:pt>
                <c:pt idx="619">
                  <c:v>182.952</c:v>
                </c:pt>
                <c:pt idx="620">
                  <c:v>442.32299999999998</c:v>
                </c:pt>
                <c:pt idx="621">
                  <c:v>35.311500000000002</c:v>
                </c:pt>
                <c:pt idx="622">
                  <c:v>32.529000000000003</c:v>
                </c:pt>
                <c:pt idx="623">
                  <c:v>259.77</c:v>
                </c:pt>
                <c:pt idx="624">
                  <c:v>397.21499999999997</c:v>
                </c:pt>
                <c:pt idx="625">
                  <c:v>351.60300000000001</c:v>
                </c:pt>
                <c:pt idx="626">
                  <c:v>764.19</c:v>
                </c:pt>
                <c:pt idx="627">
                  <c:v>352.67399999999998</c:v>
                </c:pt>
                <c:pt idx="628">
                  <c:v>252.756</c:v>
                </c:pt>
                <c:pt idx="629">
                  <c:v>49.423499999999997</c:v>
                </c:pt>
                <c:pt idx="630">
                  <c:v>104.67449999999999</c:v>
                </c:pt>
                <c:pt idx="631">
                  <c:v>277.67250000000001</c:v>
                </c:pt>
                <c:pt idx="632">
                  <c:v>146.63249999999999</c:v>
                </c:pt>
                <c:pt idx="633">
                  <c:v>58.222499999999997</c:v>
                </c:pt>
                <c:pt idx="634">
                  <c:v>135.35550000000001</c:v>
                </c:pt>
                <c:pt idx="635">
                  <c:v>125.979</c:v>
                </c:pt>
                <c:pt idx="636">
                  <c:v>370.125</c:v>
                </c:pt>
                <c:pt idx="637">
                  <c:v>914.55</c:v>
                </c:pt>
                <c:pt idx="638">
                  <c:v>207.48</c:v>
                </c:pt>
                <c:pt idx="639">
                  <c:v>204.24600000000001</c:v>
                </c:pt>
                <c:pt idx="640">
                  <c:v>181.881</c:v>
                </c:pt>
                <c:pt idx="641">
                  <c:v>75.474000000000004</c:v>
                </c:pt>
                <c:pt idx="642">
                  <c:v>300.57299999999998</c:v>
                </c:pt>
                <c:pt idx="643">
                  <c:v>85.302000000000007</c:v>
                </c:pt>
                <c:pt idx="644">
                  <c:v>588.41999999999996</c:v>
                </c:pt>
                <c:pt idx="645">
                  <c:v>196.14</c:v>
                </c:pt>
                <c:pt idx="646">
                  <c:v>231.2415</c:v>
                </c:pt>
                <c:pt idx="647">
                  <c:v>282.57600000000002</c:v>
                </c:pt>
                <c:pt idx="648">
                  <c:v>477.54</c:v>
                </c:pt>
                <c:pt idx="649">
                  <c:v>175.917</c:v>
                </c:pt>
                <c:pt idx="650">
                  <c:v>470.988</c:v>
                </c:pt>
                <c:pt idx="651">
                  <c:v>308.57400000000001</c:v>
                </c:pt>
                <c:pt idx="652">
                  <c:v>618.97500000000002</c:v>
                </c:pt>
                <c:pt idx="653">
                  <c:v>305.55</c:v>
                </c:pt>
                <c:pt idx="654">
                  <c:v>41.454000000000001</c:v>
                </c:pt>
                <c:pt idx="655">
                  <c:v>36.5505</c:v>
                </c:pt>
                <c:pt idx="656">
                  <c:v>310.71600000000001</c:v>
                </c:pt>
                <c:pt idx="657">
                  <c:v>45.107999999999997</c:v>
                </c:pt>
                <c:pt idx="658">
                  <c:v>145.404</c:v>
                </c:pt>
                <c:pt idx="659">
                  <c:v>103.11</c:v>
                </c:pt>
                <c:pt idx="660">
                  <c:v>136.143</c:v>
                </c:pt>
                <c:pt idx="661">
                  <c:v>667.38</c:v>
                </c:pt>
                <c:pt idx="662">
                  <c:v>153.048</c:v>
                </c:pt>
                <c:pt idx="663">
                  <c:v>211.36500000000001</c:v>
                </c:pt>
                <c:pt idx="664">
                  <c:v>663.29549999999995</c:v>
                </c:pt>
                <c:pt idx="665">
                  <c:v>404.54399999999998</c:v>
                </c:pt>
                <c:pt idx="666">
                  <c:v>510.61500000000001</c:v>
                </c:pt>
                <c:pt idx="667">
                  <c:v>539.34299999999996</c:v>
                </c:pt>
                <c:pt idx="668">
                  <c:v>497.07</c:v>
                </c:pt>
                <c:pt idx="669">
                  <c:v>458.6925</c:v>
                </c:pt>
                <c:pt idx="670">
                  <c:v>113.568</c:v>
                </c:pt>
                <c:pt idx="671">
                  <c:v>261.19799999999998</c:v>
                </c:pt>
                <c:pt idx="672">
                  <c:v>657.53099999999995</c:v>
                </c:pt>
                <c:pt idx="673">
                  <c:v>1023.75</c:v>
                </c:pt>
                <c:pt idx="674">
                  <c:v>507.44400000000002</c:v>
                </c:pt>
                <c:pt idx="675">
                  <c:v>101.80800000000001</c:v>
                </c:pt>
                <c:pt idx="676">
                  <c:v>207.58500000000001</c:v>
                </c:pt>
                <c:pt idx="677">
                  <c:v>760.44150000000002</c:v>
                </c:pt>
                <c:pt idx="678">
                  <c:v>835.28549999999996</c:v>
                </c:pt>
                <c:pt idx="679">
                  <c:v>527.5095</c:v>
                </c:pt>
                <c:pt idx="680">
                  <c:v>180.6</c:v>
                </c:pt>
                <c:pt idx="681">
                  <c:v>72.429000000000002</c:v>
                </c:pt>
                <c:pt idx="682">
                  <c:v>131.208</c:v>
                </c:pt>
                <c:pt idx="683">
                  <c:v>80.954999999999998</c:v>
                </c:pt>
                <c:pt idx="684">
                  <c:v>507.90600000000001</c:v>
                </c:pt>
                <c:pt idx="685">
                  <c:v>317.226</c:v>
                </c:pt>
                <c:pt idx="686">
                  <c:v>733.60350000000005</c:v>
                </c:pt>
                <c:pt idx="687">
                  <c:v>130.88249999999999</c:v>
                </c:pt>
                <c:pt idx="688">
                  <c:v>829.08</c:v>
                </c:pt>
                <c:pt idx="689">
                  <c:v>187.32</c:v>
                </c:pt>
                <c:pt idx="690">
                  <c:v>525.23099999999999</c:v>
                </c:pt>
                <c:pt idx="691">
                  <c:v>37.610999999999997</c:v>
                </c:pt>
                <c:pt idx="692">
                  <c:v>142.947</c:v>
                </c:pt>
                <c:pt idx="693">
                  <c:v>110.124</c:v>
                </c:pt>
                <c:pt idx="694">
                  <c:v>187.86600000000001</c:v>
                </c:pt>
                <c:pt idx="695">
                  <c:v>856.45349999999996</c:v>
                </c:pt>
                <c:pt idx="696">
                  <c:v>138.97800000000001</c:v>
                </c:pt>
                <c:pt idx="697">
                  <c:v>270.2595</c:v>
                </c:pt>
                <c:pt idx="698">
                  <c:v>98.028000000000006</c:v>
                </c:pt>
                <c:pt idx="699">
                  <c:v>239.4</c:v>
                </c:pt>
                <c:pt idx="700">
                  <c:v>175.0455</c:v>
                </c:pt>
                <c:pt idx="701">
                  <c:v>732.27</c:v>
                </c:pt>
                <c:pt idx="702">
                  <c:v>408.49200000000002</c:v>
                </c:pt>
                <c:pt idx="703">
                  <c:v>383.52300000000002</c:v>
                </c:pt>
                <c:pt idx="704">
                  <c:v>93.744</c:v>
                </c:pt>
                <c:pt idx="705">
                  <c:v>176.4</c:v>
                </c:pt>
                <c:pt idx="706">
                  <c:v>20.684999999999999</c:v>
                </c:pt>
                <c:pt idx="707">
                  <c:v>557.71799999999996</c:v>
                </c:pt>
                <c:pt idx="708">
                  <c:v>56.405999999999999</c:v>
                </c:pt>
                <c:pt idx="709">
                  <c:v>860.47500000000002</c:v>
                </c:pt>
                <c:pt idx="710">
                  <c:v>596.82000000000005</c:v>
                </c:pt>
                <c:pt idx="711">
                  <c:v>616.98</c:v>
                </c:pt>
                <c:pt idx="712">
                  <c:v>769.10400000000004</c:v>
                </c:pt>
                <c:pt idx="713">
                  <c:v>887.92200000000003</c:v>
                </c:pt>
                <c:pt idx="714">
                  <c:v>408.73349999999999</c:v>
                </c:pt>
                <c:pt idx="715">
                  <c:v>89.0715</c:v>
                </c:pt>
                <c:pt idx="716">
                  <c:v>150.423</c:v>
                </c:pt>
                <c:pt idx="717">
                  <c:v>79.149000000000001</c:v>
                </c:pt>
                <c:pt idx="718">
                  <c:v>266.02800000000002</c:v>
                </c:pt>
                <c:pt idx="719">
                  <c:v>40.341000000000001</c:v>
                </c:pt>
                <c:pt idx="720">
                  <c:v>684.91499999999996</c:v>
                </c:pt>
                <c:pt idx="721">
                  <c:v>55.282499999999999</c:v>
                </c:pt>
                <c:pt idx="722">
                  <c:v>116.1405</c:v>
                </c:pt>
                <c:pt idx="723">
                  <c:v>597.04049999999995</c:v>
                </c:pt>
                <c:pt idx="724">
                  <c:v>93.744</c:v>
                </c:pt>
                <c:pt idx="725">
                  <c:v>143.22</c:v>
                </c:pt>
                <c:pt idx="726">
                  <c:v>182.91</c:v>
                </c:pt>
                <c:pt idx="727">
                  <c:v>384.72</c:v>
                </c:pt>
                <c:pt idx="728">
                  <c:v>267.34050000000002</c:v>
                </c:pt>
                <c:pt idx="729">
                  <c:v>817.23599999999999</c:v>
                </c:pt>
                <c:pt idx="730">
                  <c:v>300.21600000000001</c:v>
                </c:pt>
                <c:pt idx="731">
                  <c:v>608.07600000000002</c:v>
                </c:pt>
                <c:pt idx="732">
                  <c:v>197.92500000000001</c:v>
                </c:pt>
                <c:pt idx="733">
                  <c:v>232.63800000000001</c:v>
                </c:pt>
                <c:pt idx="734">
                  <c:v>810.6</c:v>
                </c:pt>
                <c:pt idx="735">
                  <c:v>757.36500000000001</c:v>
                </c:pt>
                <c:pt idx="736">
                  <c:v>536.59199999999998</c:v>
                </c:pt>
                <c:pt idx="737">
                  <c:v>56.122500000000002</c:v>
                </c:pt>
                <c:pt idx="738">
                  <c:v>233.1</c:v>
                </c:pt>
                <c:pt idx="739">
                  <c:v>801.86400000000003</c:v>
                </c:pt>
                <c:pt idx="740">
                  <c:v>239.589</c:v>
                </c:pt>
                <c:pt idx="741">
                  <c:v>86.247</c:v>
                </c:pt>
                <c:pt idx="742">
                  <c:v>401.68799999999999</c:v>
                </c:pt>
                <c:pt idx="743">
                  <c:v>72.009</c:v>
                </c:pt>
                <c:pt idx="744">
                  <c:v>401.26799999999997</c:v>
                </c:pt>
                <c:pt idx="745">
                  <c:v>631.14449999999999</c:v>
                </c:pt>
                <c:pt idx="746">
                  <c:v>499.72649999999999</c:v>
                </c:pt>
                <c:pt idx="747">
                  <c:v>55.040999999999997</c:v>
                </c:pt>
                <c:pt idx="748">
                  <c:v>137.86500000000001</c:v>
                </c:pt>
                <c:pt idx="749">
                  <c:v>151.51499999999999</c:v>
                </c:pt>
                <c:pt idx="750">
                  <c:v>480.02850000000001</c:v>
                </c:pt>
                <c:pt idx="751">
                  <c:v>98.049000000000007</c:v>
                </c:pt>
                <c:pt idx="752">
                  <c:v>132.5625</c:v>
                </c:pt>
                <c:pt idx="753">
                  <c:v>830.37149999999997</c:v>
                </c:pt>
                <c:pt idx="754">
                  <c:v>183.12</c:v>
                </c:pt>
                <c:pt idx="755">
                  <c:v>397.99200000000002</c:v>
                </c:pt>
                <c:pt idx="756">
                  <c:v>32.151000000000003</c:v>
                </c:pt>
                <c:pt idx="757">
                  <c:v>369.68400000000003</c:v>
                </c:pt>
                <c:pt idx="758">
                  <c:v>53.34</c:v>
                </c:pt>
                <c:pt idx="759">
                  <c:v>548.16300000000001</c:v>
                </c:pt>
                <c:pt idx="760">
                  <c:v>603.87599999999998</c:v>
                </c:pt>
                <c:pt idx="761">
                  <c:v>57.697499999999998</c:v>
                </c:pt>
                <c:pt idx="762">
                  <c:v>190.48050000000001</c:v>
                </c:pt>
                <c:pt idx="763">
                  <c:v>432.98849999999999</c:v>
                </c:pt>
                <c:pt idx="764">
                  <c:v>48.730499999999999</c:v>
                </c:pt>
                <c:pt idx="765">
                  <c:v>287.91000000000003</c:v>
                </c:pt>
                <c:pt idx="766">
                  <c:v>1022.385</c:v>
                </c:pt>
                <c:pt idx="767">
                  <c:v>680.61</c:v>
                </c:pt>
                <c:pt idx="768">
                  <c:v>97.881</c:v>
                </c:pt>
                <c:pt idx="769">
                  <c:v>57.078000000000003</c:v>
                </c:pt>
                <c:pt idx="770">
                  <c:v>63.913499999999999</c:v>
                </c:pt>
                <c:pt idx="771">
                  <c:v>257.14499999999998</c:v>
                </c:pt>
                <c:pt idx="772">
                  <c:v>97.418999999999997</c:v>
                </c:pt>
                <c:pt idx="773">
                  <c:v>455.1225</c:v>
                </c:pt>
                <c:pt idx="774">
                  <c:v>144.96299999999999</c:v>
                </c:pt>
                <c:pt idx="775">
                  <c:v>253.68</c:v>
                </c:pt>
                <c:pt idx="776">
                  <c:v>495.31650000000002</c:v>
                </c:pt>
                <c:pt idx="777">
                  <c:v>462.67200000000003</c:v>
                </c:pt>
                <c:pt idx="778">
                  <c:v>714.32550000000003</c:v>
                </c:pt>
                <c:pt idx="779">
                  <c:v>325.37400000000002</c:v>
                </c:pt>
                <c:pt idx="780">
                  <c:v>195.678</c:v>
                </c:pt>
                <c:pt idx="781">
                  <c:v>210.96600000000001</c:v>
                </c:pt>
                <c:pt idx="782">
                  <c:v>18.637499999999999</c:v>
                </c:pt>
                <c:pt idx="783">
                  <c:v>652.89</c:v>
                </c:pt>
                <c:pt idx="784">
                  <c:v>90.3</c:v>
                </c:pt>
                <c:pt idx="785">
                  <c:v>422.73</c:v>
                </c:pt>
                <c:pt idx="786">
                  <c:v>341.09249999999997</c:v>
                </c:pt>
                <c:pt idx="787">
                  <c:v>99.907499999999999</c:v>
                </c:pt>
                <c:pt idx="788">
                  <c:v>408.40800000000002</c:v>
                </c:pt>
                <c:pt idx="789">
                  <c:v>446.964</c:v>
                </c:pt>
                <c:pt idx="790">
                  <c:v>333.98399999999998</c:v>
                </c:pt>
                <c:pt idx="791">
                  <c:v>284.59199999999998</c:v>
                </c:pt>
                <c:pt idx="792">
                  <c:v>403.87200000000001</c:v>
                </c:pt>
                <c:pt idx="793">
                  <c:v>247.59</c:v>
                </c:pt>
                <c:pt idx="794">
                  <c:v>222.13800000000001</c:v>
                </c:pt>
                <c:pt idx="795">
                  <c:v>100.128</c:v>
                </c:pt>
                <c:pt idx="796">
                  <c:v>10.6785</c:v>
                </c:pt>
                <c:pt idx="797">
                  <c:v>216.4365</c:v>
                </c:pt>
                <c:pt idx="798">
                  <c:v>441.58800000000002</c:v>
                </c:pt>
                <c:pt idx="799">
                  <c:v>92.441999999999993</c:v>
                </c:pt>
                <c:pt idx="800">
                  <c:v>681.43949999999995</c:v>
                </c:pt>
                <c:pt idx="801">
                  <c:v>130.03200000000001</c:v>
                </c:pt>
                <c:pt idx="802">
                  <c:v>681.97500000000002</c:v>
                </c:pt>
                <c:pt idx="803">
                  <c:v>779.31</c:v>
                </c:pt>
                <c:pt idx="804">
                  <c:v>88.703999999999994</c:v>
                </c:pt>
                <c:pt idx="805">
                  <c:v>262.79399999999998</c:v>
                </c:pt>
                <c:pt idx="806">
                  <c:v>99.54</c:v>
                </c:pt>
                <c:pt idx="807">
                  <c:v>95.864999999999995</c:v>
                </c:pt>
                <c:pt idx="808">
                  <c:v>299.3655</c:v>
                </c:pt>
                <c:pt idx="809">
                  <c:v>54.999000000000002</c:v>
                </c:pt>
                <c:pt idx="810">
                  <c:v>202.33500000000001</c:v>
                </c:pt>
                <c:pt idx="811">
                  <c:v>281.16899999999998</c:v>
                </c:pt>
                <c:pt idx="812">
                  <c:v>586.63499999999999</c:v>
                </c:pt>
                <c:pt idx="813">
                  <c:v>184.08600000000001</c:v>
                </c:pt>
                <c:pt idx="814">
                  <c:v>163.61099999999999</c:v>
                </c:pt>
                <c:pt idx="815">
                  <c:v>63.314999999999998</c:v>
                </c:pt>
                <c:pt idx="816">
                  <c:v>82.887</c:v>
                </c:pt>
                <c:pt idx="817">
                  <c:v>31.227</c:v>
                </c:pt>
                <c:pt idx="818">
                  <c:v>22.385999999999999</c:v>
                </c:pt>
                <c:pt idx="819">
                  <c:v>295.40699999999998</c:v>
                </c:pt>
                <c:pt idx="820">
                  <c:v>76.923000000000002</c:v>
                </c:pt>
                <c:pt idx="821">
                  <c:v>23.498999999999999</c:v>
                </c:pt>
                <c:pt idx="822">
                  <c:v>688.71600000000001</c:v>
                </c:pt>
                <c:pt idx="823">
                  <c:v>624.33000000000004</c:v>
                </c:pt>
                <c:pt idx="824">
                  <c:v>77.805000000000007</c:v>
                </c:pt>
                <c:pt idx="825">
                  <c:v>206.80799999999999</c:v>
                </c:pt>
                <c:pt idx="826">
                  <c:v>390.94650000000001</c:v>
                </c:pt>
                <c:pt idx="827">
                  <c:v>554.29499999999996</c:v>
                </c:pt>
                <c:pt idx="828">
                  <c:v>503.73750000000001</c:v>
                </c:pt>
                <c:pt idx="829">
                  <c:v>345.01949999999999</c:v>
                </c:pt>
                <c:pt idx="830">
                  <c:v>177.40799999999999</c:v>
                </c:pt>
                <c:pt idx="831">
                  <c:v>118.902</c:v>
                </c:pt>
                <c:pt idx="832">
                  <c:v>362.81700000000001</c:v>
                </c:pt>
                <c:pt idx="833">
                  <c:v>450.1035</c:v>
                </c:pt>
                <c:pt idx="834">
                  <c:v>90.583500000000001</c:v>
                </c:pt>
                <c:pt idx="835">
                  <c:v>26.795999999999999</c:v>
                </c:pt>
                <c:pt idx="836">
                  <c:v>106.596</c:v>
                </c:pt>
                <c:pt idx="837">
                  <c:v>375.36450000000002</c:v>
                </c:pt>
                <c:pt idx="838">
                  <c:v>250.70849999999999</c:v>
                </c:pt>
                <c:pt idx="839">
                  <c:v>106.50149999999999</c:v>
                </c:pt>
                <c:pt idx="840">
                  <c:v>760.452</c:v>
                </c:pt>
                <c:pt idx="841">
                  <c:v>131.922</c:v>
                </c:pt>
                <c:pt idx="842">
                  <c:v>76.576499999999996</c:v>
                </c:pt>
                <c:pt idx="843">
                  <c:v>271.27800000000002</c:v>
                </c:pt>
                <c:pt idx="844">
                  <c:v>182.42699999999999</c:v>
                </c:pt>
                <c:pt idx="845">
                  <c:v>59.325000000000003</c:v>
                </c:pt>
                <c:pt idx="846">
                  <c:v>225.01499999999999</c:v>
                </c:pt>
                <c:pt idx="847">
                  <c:v>561.07799999999997</c:v>
                </c:pt>
                <c:pt idx="848">
                  <c:v>97.817999999999998</c:v>
                </c:pt>
                <c:pt idx="849">
                  <c:v>548.18399999999997</c:v>
                </c:pt>
                <c:pt idx="850">
                  <c:v>54.967500000000001</c:v>
                </c:pt>
                <c:pt idx="851">
                  <c:v>41.737499999999997</c:v>
                </c:pt>
                <c:pt idx="852">
                  <c:v>756.16800000000001</c:v>
                </c:pt>
                <c:pt idx="853">
                  <c:v>101.64</c:v>
                </c:pt>
                <c:pt idx="854">
                  <c:v>348.70499999999998</c:v>
                </c:pt>
                <c:pt idx="855">
                  <c:v>85.512</c:v>
                </c:pt>
                <c:pt idx="856">
                  <c:v>335.89499999999998</c:v>
                </c:pt>
                <c:pt idx="857">
                  <c:v>216.846</c:v>
                </c:pt>
                <c:pt idx="858">
                  <c:v>175.01400000000001</c:v>
                </c:pt>
                <c:pt idx="859">
                  <c:v>335.01299999999998</c:v>
                </c:pt>
                <c:pt idx="860">
                  <c:v>92.295000000000002</c:v>
                </c:pt>
                <c:pt idx="861">
                  <c:v>771.43499999999995</c:v>
                </c:pt>
                <c:pt idx="862">
                  <c:v>102.396</c:v>
                </c:pt>
                <c:pt idx="863">
                  <c:v>807.66</c:v>
                </c:pt>
                <c:pt idx="864">
                  <c:v>439.21499999999997</c:v>
                </c:pt>
                <c:pt idx="865">
                  <c:v>486.44400000000002</c:v>
                </c:pt>
                <c:pt idx="866">
                  <c:v>485.57249999999999</c:v>
                </c:pt>
                <c:pt idx="867">
                  <c:v>148.995</c:v>
                </c:pt>
                <c:pt idx="868">
                  <c:v>317.83499999999998</c:v>
                </c:pt>
                <c:pt idx="869">
                  <c:v>832.94399999999996</c:v>
                </c:pt>
                <c:pt idx="870">
                  <c:v>446.43900000000002</c:v>
                </c:pt>
                <c:pt idx="871">
                  <c:v>297.80099999999999</c:v>
                </c:pt>
                <c:pt idx="872">
                  <c:v>629.16</c:v>
                </c:pt>
                <c:pt idx="873">
                  <c:v>331.12799999999999</c:v>
                </c:pt>
                <c:pt idx="874">
                  <c:v>423.738</c:v>
                </c:pt>
                <c:pt idx="875">
                  <c:v>193.07400000000001</c:v>
                </c:pt>
                <c:pt idx="876">
                  <c:v>145.58250000000001</c:v>
                </c:pt>
                <c:pt idx="877">
                  <c:v>84.745500000000007</c:v>
                </c:pt>
                <c:pt idx="878">
                  <c:v>122.47199999999999</c:v>
                </c:pt>
                <c:pt idx="879">
                  <c:v>329.19600000000003</c:v>
                </c:pt>
                <c:pt idx="880">
                  <c:v>888.40499999999997</c:v>
                </c:pt>
                <c:pt idx="881">
                  <c:v>435.12</c:v>
                </c:pt>
                <c:pt idx="882">
                  <c:v>167.03399999999999</c:v>
                </c:pt>
                <c:pt idx="883">
                  <c:v>514.60500000000002</c:v>
                </c:pt>
                <c:pt idx="884">
                  <c:v>91.822500000000005</c:v>
                </c:pt>
                <c:pt idx="885">
                  <c:v>235.74600000000001</c:v>
                </c:pt>
                <c:pt idx="886">
                  <c:v>782.20799999999997</c:v>
                </c:pt>
                <c:pt idx="887">
                  <c:v>431.25599999999997</c:v>
                </c:pt>
                <c:pt idx="888">
                  <c:v>313.74</c:v>
                </c:pt>
                <c:pt idx="889">
                  <c:v>223.58699999999999</c:v>
                </c:pt>
                <c:pt idx="890">
                  <c:v>44.9925</c:v>
                </c:pt>
                <c:pt idx="891">
                  <c:v>397.61399999999998</c:v>
                </c:pt>
                <c:pt idx="892">
                  <c:v>217.25550000000001</c:v>
                </c:pt>
                <c:pt idx="893">
                  <c:v>82.718999999999994</c:v>
                </c:pt>
                <c:pt idx="894">
                  <c:v>338.21550000000002</c:v>
                </c:pt>
                <c:pt idx="895">
                  <c:v>103.131</c:v>
                </c:pt>
                <c:pt idx="896">
                  <c:v>26.733000000000001</c:v>
                </c:pt>
                <c:pt idx="897">
                  <c:v>611.07899999999995</c:v>
                </c:pt>
                <c:pt idx="898">
                  <c:v>221.886</c:v>
                </c:pt>
                <c:pt idx="899">
                  <c:v>57.875999999999998</c:v>
                </c:pt>
                <c:pt idx="900">
                  <c:v>92.725499999999997</c:v>
                </c:pt>
                <c:pt idx="901">
                  <c:v>374.40899999999999</c:v>
                </c:pt>
                <c:pt idx="902">
                  <c:v>833.96249999999998</c:v>
                </c:pt>
                <c:pt idx="903">
                  <c:v>53.151000000000003</c:v>
                </c:pt>
                <c:pt idx="904">
                  <c:v>629.49599999999998</c:v>
                </c:pt>
                <c:pt idx="905">
                  <c:v>175.035</c:v>
                </c:pt>
                <c:pt idx="906">
                  <c:v>781.62</c:v>
                </c:pt>
                <c:pt idx="907">
                  <c:v>470.988</c:v>
                </c:pt>
                <c:pt idx="908">
                  <c:v>397.84500000000003</c:v>
                </c:pt>
                <c:pt idx="909">
                  <c:v>270.01799999999997</c:v>
                </c:pt>
                <c:pt idx="910">
                  <c:v>579.8415</c:v>
                </c:pt>
                <c:pt idx="911">
                  <c:v>469.77</c:v>
                </c:pt>
                <c:pt idx="912">
                  <c:v>290.08350000000002</c:v>
                </c:pt>
                <c:pt idx="913">
                  <c:v>360.92700000000002</c:v>
                </c:pt>
                <c:pt idx="914">
                  <c:v>279.38400000000001</c:v>
                </c:pt>
                <c:pt idx="915">
                  <c:v>943.29899999999998</c:v>
                </c:pt>
                <c:pt idx="916">
                  <c:v>479.64</c:v>
                </c:pt>
                <c:pt idx="917">
                  <c:v>266.64749999999998</c:v>
                </c:pt>
                <c:pt idx="918">
                  <c:v>74.087999999999994</c:v>
                </c:pt>
                <c:pt idx="919">
                  <c:v>690.01800000000003</c:v>
                </c:pt>
                <c:pt idx="920">
                  <c:v>176.92500000000001</c:v>
                </c:pt>
                <c:pt idx="921">
                  <c:v>56.469000000000001</c:v>
                </c:pt>
                <c:pt idx="922">
                  <c:v>188.0025</c:v>
                </c:pt>
                <c:pt idx="923">
                  <c:v>222.012</c:v>
                </c:pt>
                <c:pt idx="924">
                  <c:v>125.7165</c:v>
                </c:pt>
                <c:pt idx="925">
                  <c:v>68.984999999999999</c:v>
                </c:pt>
                <c:pt idx="926">
                  <c:v>263.97000000000003</c:v>
                </c:pt>
                <c:pt idx="927">
                  <c:v>88.367999999999995</c:v>
                </c:pt>
                <c:pt idx="928">
                  <c:v>415.233</c:v>
                </c:pt>
                <c:pt idx="929">
                  <c:v>312.8895</c:v>
                </c:pt>
                <c:pt idx="930">
                  <c:v>477.13049999999998</c:v>
                </c:pt>
                <c:pt idx="931">
                  <c:v>289.92599999999999</c:v>
                </c:pt>
                <c:pt idx="932">
                  <c:v>165.9</c:v>
                </c:pt>
                <c:pt idx="933">
                  <c:v>932.33699999999999</c:v>
                </c:pt>
                <c:pt idx="934">
                  <c:v>96.578999999999994</c:v>
                </c:pt>
                <c:pt idx="935">
                  <c:v>43.869</c:v>
                </c:pt>
                <c:pt idx="936">
                  <c:v>16.274999999999999</c:v>
                </c:pt>
                <c:pt idx="937">
                  <c:v>304.983</c:v>
                </c:pt>
                <c:pt idx="938">
                  <c:v>69.992999999999995</c:v>
                </c:pt>
                <c:pt idx="939">
                  <c:v>80.367000000000004</c:v>
                </c:pt>
                <c:pt idx="940">
                  <c:v>314.685</c:v>
                </c:pt>
                <c:pt idx="941">
                  <c:v>255.1815</c:v>
                </c:pt>
                <c:pt idx="942">
                  <c:v>49.77</c:v>
                </c:pt>
                <c:pt idx="943">
                  <c:v>181.07249999999999</c:v>
                </c:pt>
                <c:pt idx="944">
                  <c:v>888.61500000000001</c:v>
                </c:pt>
                <c:pt idx="945">
                  <c:v>271.2885</c:v>
                </c:pt>
                <c:pt idx="946">
                  <c:v>640.03800000000001</c:v>
                </c:pt>
                <c:pt idx="947">
                  <c:v>252.25200000000001</c:v>
                </c:pt>
                <c:pt idx="948">
                  <c:v>180.87299999999999</c:v>
                </c:pt>
                <c:pt idx="949">
                  <c:v>104.83199999999999</c:v>
                </c:pt>
                <c:pt idx="950">
                  <c:v>313.572</c:v>
                </c:pt>
                <c:pt idx="951">
                  <c:v>167.58</c:v>
                </c:pt>
                <c:pt idx="952">
                  <c:v>26.7225</c:v>
                </c:pt>
                <c:pt idx="953">
                  <c:v>71.158500000000004</c:v>
                </c:pt>
                <c:pt idx="954">
                  <c:v>250.27799999999999</c:v>
                </c:pt>
                <c:pt idx="955">
                  <c:v>244.23</c:v>
                </c:pt>
                <c:pt idx="956">
                  <c:v>921.18600000000004</c:v>
                </c:pt>
                <c:pt idx="957">
                  <c:v>734.70600000000002</c:v>
                </c:pt>
                <c:pt idx="958">
                  <c:v>708.31949999999995</c:v>
                </c:pt>
                <c:pt idx="959">
                  <c:v>334.47750000000002</c:v>
                </c:pt>
                <c:pt idx="960">
                  <c:v>30.995999999999999</c:v>
                </c:pt>
                <c:pt idx="961">
                  <c:v>520.79999999999995</c:v>
                </c:pt>
                <c:pt idx="962">
                  <c:v>864.57</c:v>
                </c:pt>
                <c:pt idx="963">
                  <c:v>633.10799999999995</c:v>
                </c:pt>
                <c:pt idx="964">
                  <c:v>296.94</c:v>
                </c:pt>
                <c:pt idx="965">
                  <c:v>804.3</c:v>
                </c:pt>
                <c:pt idx="966">
                  <c:v>121.863</c:v>
                </c:pt>
                <c:pt idx="967">
                  <c:v>183.64500000000001</c:v>
                </c:pt>
                <c:pt idx="968">
                  <c:v>63.997500000000002</c:v>
                </c:pt>
                <c:pt idx="969">
                  <c:v>42.3675</c:v>
                </c:pt>
                <c:pt idx="970">
                  <c:v>1022.49</c:v>
                </c:pt>
                <c:pt idx="971">
                  <c:v>33.432000000000002</c:v>
                </c:pt>
                <c:pt idx="972">
                  <c:v>69.111000000000004</c:v>
                </c:pt>
                <c:pt idx="973">
                  <c:v>649.29899999999998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E2-4C49-B293-0E5772A61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080224"/>
        <c:axId val="1778084064"/>
      </c:scatterChart>
      <c:valAx>
        <c:axId val="177808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84064"/>
        <c:crosses val="autoZero"/>
        <c:crossBetween val="midCat"/>
      </c:valAx>
      <c:valAx>
        <c:axId val="1778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</a:t>
                </a:r>
                <a:r>
                  <a:rPr lang="en-US"/>
                  <a:t>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8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Branches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v>Total</c:v>
          </c:tx>
          <c:invertIfNegative val="0"/>
          <c:trendline>
            <c:trendlineType val="linear"/>
            <c:dispRSqr val="0"/>
            <c:dispEq val="0"/>
          </c:trendline>
          <c:cat>
            <c:strLit>
              <c:ptCount val="3"/>
              <c:pt idx="0">
                <c:v>Alex</c:v>
              </c:pt>
              <c:pt idx="1">
                <c:v>Cairo</c:v>
              </c:pt>
              <c:pt idx="2">
                <c:v>Giza</c:v>
              </c:pt>
            </c:strLit>
          </c:cat>
          <c:val>
            <c:numLit>
              <c:formatCode>General</c:formatCode>
              <c:ptCount val="3"/>
              <c:pt idx="0">
                <c:v>103013.1795000001</c:v>
              </c:pt>
              <c:pt idx="1">
                <c:v>102875.27249999998</c:v>
              </c:pt>
              <c:pt idx="2">
                <c:v>107993.20349999995</c:v>
              </c:pt>
            </c:numLit>
          </c:val>
          <c:extLst>
            <c:ext xmlns:c16="http://schemas.microsoft.com/office/drawing/2014/chart" uri="{C3380CC4-5D6E-409C-BE32-E72D297353CC}">
              <c16:uniqueId val="{00000004-7266-47C6-8E7B-7DBE008E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482207"/>
        <c:axId val="283483167"/>
      </c:barChart>
      <c:catAx>
        <c:axId val="28348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Branches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83167"/>
        <c:crosses val="autoZero"/>
        <c:auto val="1"/>
        <c:lblAlgn val="ctr"/>
        <c:lblOffset val="100"/>
        <c:noMultiLvlLbl val="0"/>
      </c:catAx>
      <c:valAx>
        <c:axId val="2834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8220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type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61-4CF5-9E02-255DD9D62E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61-4CF5-9E02-255DD9D62E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61-4CF5-9E02-255DD9D62E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61-4CF5-9E02-255DD9D62E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Cash</c:v>
              </c:pt>
              <c:pt idx="1">
                <c:v>Credit card</c:v>
              </c:pt>
              <c:pt idx="2">
                <c:v>Ewallet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1837</c:v>
              </c:pt>
              <c:pt idx="1">
                <c:v>1664</c:v>
              </c:pt>
              <c:pt idx="2">
                <c:v>1858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8961-4CF5-9E02-255DD9D62E6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TREND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TREND</a:t>
          </a:r>
        </a:p>
      </cx:txPr>
    </cx:title>
    <cx:plotArea>
      <cx:plotAreaRegion>
        <cx:series layoutId="clusteredColumn" uniqueId="{C0247FAB-ED73-4F8B-B38F-68FCAE5823B8}">
          <cx:tx>
            <cx:txData>
              <cx:f>_xlchart.v1.0</cx:f>
              <cx:v>Rating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0.61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</xdr:colOff>
      <xdr:row>1</xdr:row>
      <xdr:rowOff>144780</xdr:rowOff>
    </xdr:from>
    <xdr:to>
      <xdr:col>8</xdr:col>
      <xdr:colOff>0</xdr:colOff>
      <xdr:row>15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C2B581-5C03-17EA-6BC9-69317BA2A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7775</xdr:colOff>
      <xdr:row>38</xdr:row>
      <xdr:rowOff>23327</xdr:rowOff>
    </xdr:from>
    <xdr:to>
      <xdr:col>8</xdr:col>
      <xdr:colOff>334347</xdr:colOff>
      <xdr:row>52</xdr:row>
      <xdr:rowOff>153955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B56E42-D952-4E48-83B3-B4761A605E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35" y="6972767"/>
              <a:ext cx="8342812" cy="26909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54429</xdr:colOff>
      <xdr:row>18</xdr:row>
      <xdr:rowOff>163286</xdr:rowOff>
    </xdr:from>
    <xdr:to>
      <xdr:col>7</xdr:col>
      <xdr:colOff>542109</xdr:colOff>
      <xdr:row>32</xdr:row>
      <xdr:rowOff>18583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F389CA-FEF0-4FEF-BB06-DD1E184CB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124409</xdr:colOff>
      <xdr:row>54</xdr:row>
      <xdr:rowOff>54429</xdr:rowOff>
    </xdr:from>
    <xdr:to>
      <xdr:col>7</xdr:col>
      <xdr:colOff>21150</xdr:colOff>
      <xdr:row>66</xdr:row>
      <xdr:rowOff>13452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255B729-A7BB-4D57-B271-4DA89F634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AFB980-8F87-4C65-A793-F6A874070688}" autoFormatId="16" applyNumberFormats="0" applyBorderFormats="0" applyFontFormats="0" applyPatternFormats="0" applyAlignmentFormats="0" applyWidthHeightFormats="0">
  <queryTableRefresh nextId="21">
    <queryTableFields count="20">
      <queryTableField id="1" name="Invoice ID.1.1" tableColumnId="1"/>
      <queryTableField id="2" name="Invoice ID.1.2" tableColumnId="2"/>
      <queryTableField id="3" name="Invoice ID.2" tableColumnId="3"/>
      <queryTableField id="4" name="Invoice ID.3" tableColumnId="4"/>
      <queryTableField id="5" name="Branch" tableColumnId="5"/>
      <queryTableField id="6" name="CITY" tableColumnId="6"/>
      <queryTableField id="7" name="CUSTOMER TYPE" tableColumnId="7"/>
      <queryTableField id="8" name="Gender" tableColumnId="8"/>
      <queryTableField id="9" name="Product line" tableColumnId="9"/>
      <queryTableField id="10" name="Unit price" tableColumnId="10"/>
      <queryTableField id="11" name="Quantity" tableColumnId="11"/>
      <queryTableField id="12" name="Tax 5%" tableColumnId="12"/>
      <queryTableField id="13" name="Sales" tableColumnId="13"/>
      <queryTableField id="14" name="Date" tableColumnId="14"/>
      <queryTableField id="15" name="Time" tableColumnId="15"/>
      <queryTableField id="16" name="Payment" tableColumnId="16"/>
      <queryTableField id="17" name="cogs" tableColumnId="17"/>
      <queryTableField id="18" name="gross margin percentage" tableColumnId="18"/>
      <queryTableField id="19" name="gross income" tableColumnId="19"/>
      <queryTableField id="20" name="Rating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449E1-25EB-4A3E-926A-41E3769355CB}" name="Clean_data" displayName="Clean_data" ref="A1:T975" tableType="queryTable" totalsRowShown="0">
  <autoFilter ref="A1:T975" xr:uid="{53D449E1-25EB-4A3E-926A-41E3769355CB}"/>
  <tableColumns count="20">
    <tableColumn id="1" xr3:uid="{C32AD807-59F8-4898-B992-221EED00102C}" uniqueName="1" name="Invoice ID.1.1" queryTableFieldId="1"/>
    <tableColumn id="2" xr3:uid="{9384E0C7-624B-4C2B-B539-02A8B311934E}" uniqueName="2" name="Invoice ID.1.2" queryTableFieldId="2" dataDxfId="8"/>
    <tableColumn id="3" xr3:uid="{55A2C414-EAB2-4C26-8CEE-6A589141ED53}" uniqueName="3" name="Invoice ID.2" queryTableFieldId="3"/>
    <tableColumn id="4" xr3:uid="{BE5E3394-5F8A-4B27-9E4B-98D3208EFCA5}" uniqueName="4" name="Invoice ID.3" queryTableFieldId="4"/>
    <tableColumn id="5" xr3:uid="{EBF1B80F-39B3-4C06-BD9C-DD8B9D2B91CF}" uniqueName="5" name="Branch" queryTableFieldId="5" dataDxfId="7"/>
    <tableColumn id="6" xr3:uid="{470C359C-F72F-40EF-B0AD-51F9AFF05BAA}" uniqueName="6" name="CITY" queryTableFieldId="6" dataDxfId="6"/>
    <tableColumn id="7" xr3:uid="{8F0A1C43-C4ED-4872-B03D-C79C42AEC9E5}" uniqueName="7" name="CUSTOMER TYPE" queryTableFieldId="7" dataDxfId="5"/>
    <tableColumn id="8" xr3:uid="{D21E14C5-65FD-433A-9989-A7436A4AC213}" uniqueName="8" name="Gender" queryTableFieldId="8" dataDxfId="4"/>
    <tableColumn id="9" xr3:uid="{0E5FFF8D-5713-4E13-8AFB-EA54CD87B45C}" uniqueName="9" name="Product line" queryTableFieldId="9" dataDxfId="3"/>
    <tableColumn id="10" xr3:uid="{B693E4C8-4F58-47D1-AEB4-91FCAD273914}" uniqueName="10" name="Unit price" queryTableFieldId="10"/>
    <tableColumn id="11" xr3:uid="{F933B014-41E6-4FD4-87EC-3CC359457579}" uniqueName="11" name="Quantity" queryTableFieldId="11"/>
    <tableColumn id="12" xr3:uid="{9448BE4D-976E-489C-93E5-31B5875E4793}" uniqueName="12" name="Tax 5%" queryTableFieldId="12"/>
    <tableColumn id="13" xr3:uid="{31518A66-8F03-4FCD-9723-CD084EB29FFC}" uniqueName="13" name="Sales" queryTableFieldId="13"/>
    <tableColumn id="14" xr3:uid="{C480547C-72EE-468D-AD2F-D84430A2F804}" uniqueName="14" name="Date" queryTableFieldId="14" dataDxfId="2"/>
    <tableColumn id="15" xr3:uid="{BF05F74A-8807-4D17-AFF4-9C69783CD90B}" uniqueName="15" name="Time" queryTableFieldId="15" dataDxfId="1"/>
    <tableColumn id="16" xr3:uid="{4A168914-053A-4DC1-8D0D-79812F23F925}" uniqueName="16" name="Payment" queryTableFieldId="16" dataDxfId="0"/>
    <tableColumn id="17" xr3:uid="{BD96DD0E-ADDC-40FB-9137-FF50938A064B}" uniqueName="17" name="cogs" queryTableFieldId="17"/>
    <tableColumn id="18" xr3:uid="{A037B8E0-1B63-4026-AF15-40D45E5A6699}" uniqueName="18" name="gross margin percentage" queryTableFieldId="18"/>
    <tableColumn id="19" xr3:uid="{64C12671-25F7-4880-8F1C-599F798C1A25}" uniqueName="19" name="gross income" queryTableFieldId="19"/>
    <tableColumn id="20" xr3:uid="{B56345E1-0FDB-4F40-B915-C6FF05C4BC20}" uniqueName="20" name="Rating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E5F1-3007-4C0A-99A1-2B6360FBEC23}">
  <dimension ref="A1:T975"/>
  <sheetViews>
    <sheetView topLeftCell="E945" zoomScale="87" workbookViewId="0">
      <selection activeCell="M1" activeCellId="1" sqref="K1:K1048576 M1:M1048576"/>
    </sheetView>
  </sheetViews>
  <sheetFormatPr defaultRowHeight="14.4" x14ac:dyDescent="0.3"/>
  <cols>
    <col min="1" max="2" width="14.6640625" bestFit="1" customWidth="1"/>
    <col min="3" max="4" width="13.109375" bestFit="1" customWidth="1"/>
    <col min="5" max="5" width="9.109375" bestFit="1" customWidth="1"/>
    <col min="6" max="6" width="9.6640625" bestFit="1" customWidth="1"/>
    <col min="7" max="7" width="17.5546875" bestFit="1" customWidth="1"/>
    <col min="8" max="8" width="9.33203125" bestFit="1" customWidth="1"/>
    <col min="9" max="9" width="19.21875" bestFit="1" customWidth="1"/>
    <col min="10" max="10" width="11.33203125" bestFit="1" customWidth="1"/>
    <col min="11" max="11" width="10.5546875" bestFit="1" customWidth="1"/>
    <col min="12" max="13" width="9" bestFit="1" customWidth="1"/>
    <col min="14" max="14" width="9.5546875" bestFit="1" customWidth="1"/>
    <col min="15" max="15" width="11.33203125" bestFit="1" customWidth="1"/>
    <col min="16" max="16" width="10.77734375" bestFit="1" customWidth="1"/>
    <col min="17" max="17" width="7" bestFit="1" customWidth="1"/>
    <col min="18" max="18" width="24.109375" bestFit="1" customWidth="1"/>
    <col min="19" max="19" width="14.21875" bestFit="1" customWidth="1"/>
    <col min="20" max="20" width="8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750</v>
      </c>
      <c r="C2">
        <v>67</v>
      </c>
      <c r="D2">
        <v>8428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74.69</v>
      </c>
      <c r="K2">
        <v>7</v>
      </c>
      <c r="L2">
        <v>26.141500000000001</v>
      </c>
      <c r="M2">
        <v>548.97149999999999</v>
      </c>
      <c r="N2" s="1">
        <v>43470</v>
      </c>
      <c r="O2" s="2">
        <v>0.54722222222222228</v>
      </c>
      <c r="P2" t="s">
        <v>25</v>
      </c>
      <c r="Q2">
        <v>522.83000000000004</v>
      </c>
      <c r="R2">
        <v>4.7619047620000003</v>
      </c>
      <c r="S2">
        <v>26.141500000000001</v>
      </c>
      <c r="T2">
        <v>9.1</v>
      </c>
    </row>
    <row r="3" spans="1:20" x14ac:dyDescent="0.3">
      <c r="A3">
        <v>226</v>
      </c>
      <c r="C3">
        <v>31</v>
      </c>
      <c r="D3">
        <v>3081</v>
      </c>
      <c r="E3" t="s">
        <v>26</v>
      </c>
      <c r="F3" t="s">
        <v>27</v>
      </c>
      <c r="G3" t="s">
        <v>28</v>
      </c>
      <c r="H3" t="s">
        <v>23</v>
      </c>
      <c r="I3" t="s">
        <v>29</v>
      </c>
      <c r="J3">
        <v>15.28</v>
      </c>
      <c r="K3">
        <v>5</v>
      </c>
      <c r="L3">
        <v>3.82</v>
      </c>
      <c r="M3">
        <v>80.22</v>
      </c>
      <c r="N3" s="1">
        <v>43532</v>
      </c>
      <c r="O3" s="2">
        <v>0.43680555555555556</v>
      </c>
      <c r="P3" t="s">
        <v>30</v>
      </c>
      <c r="Q3">
        <v>76.400000000000006</v>
      </c>
      <c r="R3">
        <v>4.7619047620000003</v>
      </c>
      <c r="S3">
        <v>3.82</v>
      </c>
      <c r="T3">
        <v>9.6</v>
      </c>
    </row>
    <row r="4" spans="1:20" x14ac:dyDescent="0.3">
      <c r="A4">
        <v>631</v>
      </c>
      <c r="C4">
        <v>41</v>
      </c>
      <c r="D4">
        <v>3108</v>
      </c>
      <c r="E4" t="s">
        <v>20</v>
      </c>
      <c r="F4" t="s">
        <v>21</v>
      </c>
      <c r="G4" t="s">
        <v>28</v>
      </c>
      <c r="H4" t="s">
        <v>23</v>
      </c>
      <c r="I4" t="s">
        <v>31</v>
      </c>
      <c r="J4">
        <v>46.33</v>
      </c>
      <c r="K4">
        <v>7</v>
      </c>
      <c r="L4">
        <v>16.215499999999999</v>
      </c>
      <c r="M4">
        <v>340.52550000000002</v>
      </c>
      <c r="N4" s="1">
        <v>43527</v>
      </c>
      <c r="O4" s="2">
        <v>0.55763888888888891</v>
      </c>
      <c r="P4" t="s">
        <v>32</v>
      </c>
      <c r="Q4">
        <v>324.31</v>
      </c>
      <c r="R4">
        <v>4.7619047620000003</v>
      </c>
      <c r="S4">
        <v>16.215499999999999</v>
      </c>
      <c r="T4">
        <v>7.4</v>
      </c>
    </row>
    <row r="5" spans="1:20" x14ac:dyDescent="0.3">
      <c r="A5">
        <v>373</v>
      </c>
      <c r="C5">
        <v>73</v>
      </c>
      <c r="D5">
        <v>7910</v>
      </c>
      <c r="E5" t="s">
        <v>20</v>
      </c>
      <c r="F5" t="s">
        <v>21</v>
      </c>
      <c r="G5" t="s">
        <v>22</v>
      </c>
      <c r="H5" t="s">
        <v>23</v>
      </c>
      <c r="I5" t="s">
        <v>33</v>
      </c>
      <c r="J5">
        <v>86.31</v>
      </c>
      <c r="K5">
        <v>7</v>
      </c>
      <c r="L5">
        <v>30.208500000000001</v>
      </c>
      <c r="M5">
        <v>634.37850000000003</v>
      </c>
      <c r="N5" s="1">
        <v>43504</v>
      </c>
      <c r="O5" s="2">
        <v>0.44236111111111109</v>
      </c>
      <c r="P5" t="s">
        <v>25</v>
      </c>
      <c r="Q5">
        <v>604.16999999999996</v>
      </c>
      <c r="R5">
        <v>4.7619047620000003</v>
      </c>
      <c r="S5">
        <v>30.208500000000001</v>
      </c>
      <c r="T5">
        <v>5.3</v>
      </c>
    </row>
    <row r="6" spans="1:20" x14ac:dyDescent="0.3">
      <c r="A6">
        <v>699</v>
      </c>
      <c r="C6">
        <v>14</v>
      </c>
      <c r="D6">
        <v>3026</v>
      </c>
      <c r="E6" t="s">
        <v>26</v>
      </c>
      <c r="F6" t="s">
        <v>27</v>
      </c>
      <c r="G6" t="s">
        <v>22</v>
      </c>
      <c r="H6" t="s">
        <v>23</v>
      </c>
      <c r="I6" t="s">
        <v>29</v>
      </c>
      <c r="J6">
        <v>85.39</v>
      </c>
      <c r="K6">
        <v>7</v>
      </c>
      <c r="L6">
        <v>29.886500000000002</v>
      </c>
      <c r="M6">
        <v>627.61649999999997</v>
      </c>
      <c r="N6" s="1">
        <v>43549</v>
      </c>
      <c r="O6" s="2">
        <v>0.77083333333333337</v>
      </c>
      <c r="P6" t="s">
        <v>25</v>
      </c>
      <c r="Q6">
        <v>597.73</v>
      </c>
      <c r="R6">
        <v>4.7619047620000003</v>
      </c>
      <c r="S6">
        <v>29.886500000000002</v>
      </c>
      <c r="T6">
        <v>4.0999999999999996</v>
      </c>
    </row>
    <row r="7" spans="1:20" x14ac:dyDescent="0.3">
      <c r="A7">
        <v>355</v>
      </c>
      <c r="C7">
        <v>53</v>
      </c>
      <c r="D7">
        <v>5943</v>
      </c>
      <c r="E7" t="s">
        <v>20</v>
      </c>
      <c r="F7" t="s">
        <v>21</v>
      </c>
      <c r="G7" t="s">
        <v>22</v>
      </c>
      <c r="H7" t="s">
        <v>23</v>
      </c>
      <c r="I7" t="s">
        <v>29</v>
      </c>
      <c r="J7">
        <v>68.84</v>
      </c>
      <c r="K7">
        <v>6</v>
      </c>
      <c r="L7">
        <v>20.652000000000001</v>
      </c>
      <c r="M7">
        <v>433.69200000000001</v>
      </c>
      <c r="N7" s="1">
        <v>43521</v>
      </c>
      <c r="O7" s="2">
        <v>0.60833333333333328</v>
      </c>
      <c r="P7" t="s">
        <v>25</v>
      </c>
      <c r="Q7">
        <v>413.04</v>
      </c>
      <c r="R7">
        <v>4.7619047620000003</v>
      </c>
      <c r="S7">
        <v>20.652000000000001</v>
      </c>
      <c r="T7">
        <v>5.8</v>
      </c>
    </row>
    <row r="8" spans="1:20" x14ac:dyDescent="0.3">
      <c r="A8">
        <v>315</v>
      </c>
      <c r="C8">
        <v>22</v>
      </c>
      <c r="D8">
        <v>5665</v>
      </c>
      <c r="E8" t="s">
        <v>26</v>
      </c>
      <c r="F8" t="s">
        <v>27</v>
      </c>
      <c r="G8" t="s">
        <v>22</v>
      </c>
      <c r="H8" t="s">
        <v>23</v>
      </c>
      <c r="I8" t="s">
        <v>31</v>
      </c>
      <c r="J8">
        <v>73.56</v>
      </c>
      <c r="K8">
        <v>10</v>
      </c>
      <c r="L8">
        <v>36.78</v>
      </c>
      <c r="M8">
        <v>772.38</v>
      </c>
      <c r="N8" s="1">
        <v>43520</v>
      </c>
      <c r="O8" s="2">
        <v>0.48472222222222222</v>
      </c>
      <c r="P8" t="s">
        <v>25</v>
      </c>
      <c r="Q8">
        <v>735.6</v>
      </c>
      <c r="R8">
        <v>4.7619047620000003</v>
      </c>
      <c r="S8">
        <v>36.78</v>
      </c>
      <c r="T8">
        <v>8</v>
      </c>
    </row>
    <row r="9" spans="1:20" x14ac:dyDescent="0.3">
      <c r="A9">
        <v>665</v>
      </c>
      <c r="C9">
        <v>32</v>
      </c>
      <c r="D9">
        <v>9167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>
        <v>36.26</v>
      </c>
      <c r="K9">
        <v>2</v>
      </c>
      <c r="L9">
        <v>3.6259999999999999</v>
      </c>
      <c r="M9">
        <v>76.146000000000001</v>
      </c>
      <c r="N9" s="1">
        <v>43475</v>
      </c>
      <c r="O9" s="2">
        <v>0.71875</v>
      </c>
      <c r="P9" t="s">
        <v>32</v>
      </c>
      <c r="Q9">
        <v>72.52</v>
      </c>
      <c r="R9">
        <v>4.7619047620000003</v>
      </c>
      <c r="S9">
        <v>3.6259999999999999</v>
      </c>
      <c r="T9">
        <v>7.2</v>
      </c>
    </row>
    <row r="10" spans="1:20" x14ac:dyDescent="0.3">
      <c r="A10">
        <v>692</v>
      </c>
      <c r="C10">
        <v>92</v>
      </c>
      <c r="D10">
        <v>5582</v>
      </c>
      <c r="E10" t="s">
        <v>34</v>
      </c>
      <c r="F10" t="s">
        <v>35</v>
      </c>
      <c r="G10" t="s">
        <v>22</v>
      </c>
      <c r="H10" t="s">
        <v>23</v>
      </c>
      <c r="I10" t="s">
        <v>36</v>
      </c>
      <c r="J10">
        <v>54.84</v>
      </c>
      <c r="K10">
        <v>3</v>
      </c>
      <c r="L10">
        <v>8.2260000000000009</v>
      </c>
      <c r="M10">
        <v>172.74600000000001</v>
      </c>
      <c r="N10" s="1">
        <v>43516</v>
      </c>
      <c r="O10" s="2">
        <v>0.56041666666666667</v>
      </c>
      <c r="P10" t="s">
        <v>32</v>
      </c>
      <c r="Q10">
        <v>164.52</v>
      </c>
      <c r="R10">
        <v>4.7619047620000003</v>
      </c>
      <c r="S10">
        <v>8.2260000000000009</v>
      </c>
      <c r="T10">
        <v>5.9</v>
      </c>
    </row>
    <row r="11" spans="1:20" x14ac:dyDescent="0.3">
      <c r="A11">
        <v>351</v>
      </c>
      <c r="C11">
        <v>62</v>
      </c>
      <c r="D11">
        <v>822</v>
      </c>
      <c r="E11" t="s">
        <v>34</v>
      </c>
      <c r="F11" t="s">
        <v>35</v>
      </c>
      <c r="G11" t="s">
        <v>22</v>
      </c>
      <c r="H11" t="s">
        <v>23</v>
      </c>
      <c r="I11" t="s">
        <v>37</v>
      </c>
      <c r="J11">
        <v>14.48</v>
      </c>
      <c r="K11">
        <v>4</v>
      </c>
      <c r="L11">
        <v>2.8959999999999999</v>
      </c>
      <c r="M11">
        <v>60.816000000000003</v>
      </c>
      <c r="N11" s="1">
        <v>43502</v>
      </c>
      <c r="O11" s="2">
        <v>0.75486111111111109</v>
      </c>
      <c r="P11" t="s">
        <v>25</v>
      </c>
      <c r="Q11">
        <v>57.92</v>
      </c>
      <c r="R11">
        <v>4.7619047620000003</v>
      </c>
      <c r="S11">
        <v>2.8959999999999999</v>
      </c>
      <c r="T11">
        <v>4.5</v>
      </c>
    </row>
    <row r="12" spans="1:20" x14ac:dyDescent="0.3">
      <c r="A12">
        <v>529</v>
      </c>
      <c r="C12">
        <v>56</v>
      </c>
      <c r="D12">
        <v>3974</v>
      </c>
      <c r="E12" t="s">
        <v>34</v>
      </c>
      <c r="F12" t="s">
        <v>35</v>
      </c>
      <c r="G12" t="s">
        <v>22</v>
      </c>
      <c r="H12" t="s">
        <v>23</v>
      </c>
      <c r="I12" t="s">
        <v>29</v>
      </c>
      <c r="J12">
        <v>25.51</v>
      </c>
      <c r="K12">
        <v>4</v>
      </c>
      <c r="L12">
        <v>5.1020000000000003</v>
      </c>
      <c r="M12">
        <v>107.142</v>
      </c>
      <c r="N12" s="1">
        <v>43533</v>
      </c>
      <c r="O12" s="2">
        <v>0.7104166666666667</v>
      </c>
      <c r="P12" t="s">
        <v>30</v>
      </c>
      <c r="Q12">
        <v>102.04</v>
      </c>
      <c r="R12">
        <v>4.7619047620000003</v>
      </c>
      <c r="S12">
        <v>5.1020000000000003</v>
      </c>
      <c r="T12">
        <v>6.8</v>
      </c>
    </row>
    <row r="13" spans="1:20" x14ac:dyDescent="0.3">
      <c r="A13">
        <v>365</v>
      </c>
      <c r="C13">
        <v>64</v>
      </c>
      <c r="D13">
        <v>515</v>
      </c>
      <c r="E13" t="s">
        <v>20</v>
      </c>
      <c r="F13" t="s">
        <v>21</v>
      </c>
      <c r="G13" t="s">
        <v>22</v>
      </c>
      <c r="H13" t="s">
        <v>23</v>
      </c>
      <c r="I13" t="s">
        <v>29</v>
      </c>
      <c r="J13">
        <v>46.95</v>
      </c>
      <c r="K13">
        <v>5</v>
      </c>
      <c r="L13">
        <v>11.737500000000001</v>
      </c>
      <c r="M13">
        <v>246.48750000000001</v>
      </c>
      <c r="N13" s="1">
        <v>43508</v>
      </c>
      <c r="O13" s="2">
        <v>0.43402777777777779</v>
      </c>
      <c r="P13" t="s">
        <v>25</v>
      </c>
      <c r="Q13">
        <v>234.75</v>
      </c>
      <c r="R13">
        <v>4.7619047620000003</v>
      </c>
      <c r="S13">
        <v>11.737500000000001</v>
      </c>
      <c r="T13">
        <v>7.1</v>
      </c>
    </row>
    <row r="14" spans="1:20" x14ac:dyDescent="0.3">
      <c r="A14">
        <v>252</v>
      </c>
      <c r="C14">
        <v>56</v>
      </c>
      <c r="D14">
        <v>2699</v>
      </c>
      <c r="E14" t="s">
        <v>20</v>
      </c>
      <c r="F14" t="s">
        <v>21</v>
      </c>
      <c r="G14" t="s">
        <v>22</v>
      </c>
      <c r="H14" t="s">
        <v>23</v>
      </c>
      <c r="I14" t="s">
        <v>36</v>
      </c>
      <c r="J14">
        <v>43.19</v>
      </c>
      <c r="K14">
        <v>10</v>
      </c>
      <c r="L14">
        <v>21.594999999999999</v>
      </c>
      <c r="M14">
        <v>453.495</v>
      </c>
      <c r="N14" s="1">
        <v>43503</v>
      </c>
      <c r="O14" s="2">
        <v>0.7</v>
      </c>
      <c r="P14" t="s">
        <v>25</v>
      </c>
      <c r="Q14">
        <v>431.9</v>
      </c>
      <c r="R14">
        <v>4.7619047620000003</v>
      </c>
      <c r="S14">
        <v>21.594999999999999</v>
      </c>
      <c r="T14">
        <v>8.1999999999999993</v>
      </c>
    </row>
    <row r="15" spans="1:20" x14ac:dyDescent="0.3">
      <c r="A15">
        <v>299</v>
      </c>
      <c r="C15">
        <v>46</v>
      </c>
      <c r="D15">
        <v>1805</v>
      </c>
      <c r="E15" t="s">
        <v>34</v>
      </c>
      <c r="F15" t="s">
        <v>35</v>
      </c>
      <c r="G15" t="s">
        <v>22</v>
      </c>
      <c r="H15" t="s">
        <v>23</v>
      </c>
      <c r="I15" t="s">
        <v>33</v>
      </c>
      <c r="J15">
        <v>93.72</v>
      </c>
      <c r="K15">
        <v>6</v>
      </c>
      <c r="L15">
        <v>28.116</v>
      </c>
      <c r="M15">
        <v>590.43600000000004</v>
      </c>
      <c r="N15" s="1">
        <v>43480</v>
      </c>
      <c r="O15" s="2">
        <v>0.67986111111111114</v>
      </c>
      <c r="P15" t="s">
        <v>30</v>
      </c>
      <c r="Q15">
        <v>562.32000000000005</v>
      </c>
      <c r="R15">
        <v>4.7619047620000003</v>
      </c>
      <c r="S15">
        <v>28.116</v>
      </c>
      <c r="T15">
        <v>4.5</v>
      </c>
    </row>
    <row r="16" spans="1:20" x14ac:dyDescent="0.3">
      <c r="A16">
        <v>656</v>
      </c>
      <c r="C16">
        <v>95</v>
      </c>
      <c r="D16">
        <v>9349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>
        <v>68.930000000000007</v>
      </c>
      <c r="K16">
        <v>7</v>
      </c>
      <c r="L16">
        <v>24.125499999999999</v>
      </c>
      <c r="M16">
        <v>506.63549999999998</v>
      </c>
      <c r="N16" s="1">
        <v>43535</v>
      </c>
      <c r="O16" s="2">
        <v>0.46041666666666664</v>
      </c>
      <c r="P16" t="s">
        <v>32</v>
      </c>
      <c r="Q16">
        <v>482.51</v>
      </c>
      <c r="R16">
        <v>4.7619047620000003</v>
      </c>
      <c r="S16">
        <v>24.125499999999999</v>
      </c>
      <c r="T16">
        <v>4.5999999999999996</v>
      </c>
    </row>
    <row r="17" spans="1:20" x14ac:dyDescent="0.3">
      <c r="A17">
        <v>765</v>
      </c>
      <c r="C17">
        <v>26</v>
      </c>
      <c r="D17">
        <v>6951</v>
      </c>
      <c r="E17" t="s">
        <v>20</v>
      </c>
      <c r="F17" t="s">
        <v>21</v>
      </c>
      <c r="G17" t="s">
        <v>22</v>
      </c>
      <c r="H17" t="s">
        <v>23</v>
      </c>
      <c r="I17" t="s">
        <v>33</v>
      </c>
      <c r="J17">
        <v>72.61</v>
      </c>
      <c r="K17">
        <v>6</v>
      </c>
      <c r="L17">
        <v>21.783000000000001</v>
      </c>
      <c r="M17">
        <v>457.44299999999998</v>
      </c>
      <c r="N17" s="1">
        <v>43466</v>
      </c>
      <c r="O17" s="2">
        <v>0.44374999999999998</v>
      </c>
      <c r="P17" t="s">
        <v>32</v>
      </c>
      <c r="Q17">
        <v>435.66</v>
      </c>
      <c r="R17">
        <v>4.7619047620000003</v>
      </c>
      <c r="S17">
        <v>21.783000000000001</v>
      </c>
      <c r="T17">
        <v>6.9</v>
      </c>
    </row>
    <row r="18" spans="1:20" x14ac:dyDescent="0.3">
      <c r="A18">
        <v>329</v>
      </c>
      <c r="C18">
        <v>62</v>
      </c>
      <c r="D18">
        <v>1586</v>
      </c>
      <c r="E18" t="s">
        <v>20</v>
      </c>
      <c r="F18" t="s">
        <v>21</v>
      </c>
      <c r="G18" t="s">
        <v>22</v>
      </c>
      <c r="H18" t="s">
        <v>23</v>
      </c>
      <c r="I18" t="s">
        <v>36</v>
      </c>
      <c r="J18">
        <v>54.67</v>
      </c>
      <c r="K18">
        <v>3</v>
      </c>
      <c r="L18">
        <v>8.2004999999999999</v>
      </c>
      <c r="M18">
        <v>172.2105</v>
      </c>
      <c r="N18" s="1">
        <v>43486</v>
      </c>
      <c r="O18" s="2">
        <v>0.75</v>
      </c>
      <c r="P18" t="s">
        <v>32</v>
      </c>
      <c r="Q18">
        <v>164.01</v>
      </c>
      <c r="R18">
        <v>4.7619047620000003</v>
      </c>
      <c r="S18">
        <v>8.2004999999999999</v>
      </c>
      <c r="T18">
        <v>8.6</v>
      </c>
    </row>
    <row r="19" spans="1:20" x14ac:dyDescent="0.3">
      <c r="A19">
        <v>319</v>
      </c>
      <c r="C19">
        <v>50</v>
      </c>
      <c r="D19">
        <v>3348</v>
      </c>
      <c r="E19" t="s">
        <v>34</v>
      </c>
      <c r="F19" t="s">
        <v>35</v>
      </c>
      <c r="G19" t="s">
        <v>22</v>
      </c>
      <c r="H19" t="s">
        <v>23</v>
      </c>
      <c r="I19" t="s">
        <v>31</v>
      </c>
      <c r="J19">
        <v>40.299999999999997</v>
      </c>
      <c r="K19">
        <v>2</v>
      </c>
      <c r="L19">
        <v>4.03</v>
      </c>
      <c r="M19">
        <v>84.63</v>
      </c>
      <c r="N19" s="1">
        <v>43535</v>
      </c>
      <c r="O19" s="2">
        <v>0.64583333333333337</v>
      </c>
      <c r="P19" t="s">
        <v>25</v>
      </c>
      <c r="Q19">
        <v>80.599999999999994</v>
      </c>
      <c r="R19">
        <v>4.7619047620000003</v>
      </c>
      <c r="S19">
        <v>4.03</v>
      </c>
      <c r="T19">
        <v>4.4000000000000004</v>
      </c>
    </row>
    <row r="20" spans="1:20" x14ac:dyDescent="0.3">
      <c r="A20">
        <v>300</v>
      </c>
      <c r="C20">
        <v>71</v>
      </c>
      <c r="D20">
        <v>4605</v>
      </c>
      <c r="E20" t="s">
        <v>26</v>
      </c>
      <c r="F20" t="s">
        <v>27</v>
      </c>
      <c r="G20" t="s">
        <v>22</v>
      </c>
      <c r="H20" t="s">
        <v>23</v>
      </c>
      <c r="I20" t="s">
        <v>29</v>
      </c>
      <c r="J20">
        <v>86.04</v>
      </c>
      <c r="K20">
        <v>5</v>
      </c>
      <c r="L20">
        <v>21.51</v>
      </c>
      <c r="M20">
        <v>451.71</v>
      </c>
      <c r="N20" s="1">
        <v>43521</v>
      </c>
      <c r="O20" s="2">
        <v>0.47499999999999998</v>
      </c>
      <c r="P20" t="s">
        <v>25</v>
      </c>
      <c r="Q20">
        <v>430.2</v>
      </c>
      <c r="R20">
        <v>4.7619047620000003</v>
      </c>
      <c r="S20">
        <v>21.51</v>
      </c>
      <c r="T20">
        <v>4.8</v>
      </c>
    </row>
    <row r="21" spans="1:20" x14ac:dyDescent="0.3">
      <c r="A21">
        <v>371</v>
      </c>
      <c r="C21">
        <v>85</v>
      </c>
      <c r="D21">
        <v>5789</v>
      </c>
      <c r="E21" t="s">
        <v>34</v>
      </c>
      <c r="F21" t="s">
        <v>35</v>
      </c>
      <c r="G21" t="s">
        <v>22</v>
      </c>
      <c r="H21" t="s">
        <v>23</v>
      </c>
      <c r="I21" t="s">
        <v>24</v>
      </c>
      <c r="J21">
        <v>87.98</v>
      </c>
      <c r="K21">
        <v>3</v>
      </c>
      <c r="L21">
        <v>13.196999999999999</v>
      </c>
      <c r="M21">
        <v>277.137</v>
      </c>
      <c r="N21" s="1">
        <v>43529</v>
      </c>
      <c r="O21" s="2">
        <v>0.44444444444444442</v>
      </c>
      <c r="P21" t="s">
        <v>25</v>
      </c>
      <c r="Q21">
        <v>263.94</v>
      </c>
      <c r="R21">
        <v>4.7619047620000003</v>
      </c>
      <c r="S21">
        <v>13.196999999999999</v>
      </c>
      <c r="T21">
        <v>5.0999999999999996</v>
      </c>
    </row>
    <row r="22" spans="1:20" x14ac:dyDescent="0.3">
      <c r="A22">
        <v>636</v>
      </c>
      <c r="C22">
        <v>48</v>
      </c>
      <c r="D22">
        <v>8204</v>
      </c>
      <c r="E22" t="s">
        <v>20</v>
      </c>
      <c r="F22" t="s">
        <v>21</v>
      </c>
      <c r="G22" t="s">
        <v>22</v>
      </c>
      <c r="H22" t="s">
        <v>23</v>
      </c>
      <c r="I22" t="s">
        <v>29</v>
      </c>
      <c r="J22">
        <v>34.56</v>
      </c>
      <c r="K22">
        <v>5</v>
      </c>
      <c r="L22">
        <v>8.64</v>
      </c>
      <c r="M22">
        <v>181.44</v>
      </c>
      <c r="N22" s="1">
        <v>43513</v>
      </c>
      <c r="O22" s="2">
        <v>0.46875</v>
      </c>
      <c r="P22" t="s">
        <v>25</v>
      </c>
      <c r="Q22">
        <v>172.8</v>
      </c>
      <c r="R22">
        <v>4.7619047620000003</v>
      </c>
      <c r="S22">
        <v>8.64</v>
      </c>
      <c r="T22">
        <v>9.9</v>
      </c>
    </row>
    <row r="23" spans="1:20" x14ac:dyDescent="0.3">
      <c r="A23">
        <v>549</v>
      </c>
      <c r="C23">
        <v>59</v>
      </c>
      <c r="D23">
        <v>1358</v>
      </c>
      <c r="E23" t="s">
        <v>20</v>
      </c>
      <c r="F23" t="s">
        <v>21</v>
      </c>
      <c r="G23" t="s">
        <v>22</v>
      </c>
      <c r="H23" t="s">
        <v>23</v>
      </c>
      <c r="I23" t="s">
        <v>33</v>
      </c>
      <c r="J23">
        <v>88.63</v>
      </c>
      <c r="K23">
        <v>3</v>
      </c>
      <c r="L23">
        <v>13.294499999999999</v>
      </c>
      <c r="M23">
        <v>279.18450000000001</v>
      </c>
      <c r="N23" s="1">
        <v>43526</v>
      </c>
      <c r="O23" s="2">
        <v>0.73333333333333328</v>
      </c>
      <c r="P23" t="s">
        <v>25</v>
      </c>
      <c r="Q23">
        <v>265.89</v>
      </c>
      <c r="R23">
        <v>4.7619047620000003</v>
      </c>
      <c r="S23">
        <v>13.294499999999999</v>
      </c>
      <c r="T23">
        <v>6</v>
      </c>
    </row>
    <row r="24" spans="1:20" x14ac:dyDescent="0.3">
      <c r="A24">
        <v>227</v>
      </c>
      <c r="C24">
        <v>3</v>
      </c>
      <c r="D24">
        <v>5010</v>
      </c>
      <c r="E24" t="s">
        <v>20</v>
      </c>
      <c r="F24" t="s">
        <v>21</v>
      </c>
      <c r="G24" t="s">
        <v>22</v>
      </c>
      <c r="H24" t="s">
        <v>23</v>
      </c>
      <c r="I24" t="s">
        <v>31</v>
      </c>
      <c r="J24">
        <v>52.59</v>
      </c>
      <c r="K24">
        <v>8</v>
      </c>
      <c r="L24">
        <v>21.036000000000001</v>
      </c>
      <c r="M24">
        <v>441.75599999999997</v>
      </c>
      <c r="N24" s="1">
        <v>43546</v>
      </c>
      <c r="O24" s="2">
        <v>0.80555555555555558</v>
      </c>
      <c r="P24" t="s">
        <v>32</v>
      </c>
      <c r="Q24">
        <v>420.72</v>
      </c>
      <c r="R24">
        <v>4.7619047620000003</v>
      </c>
      <c r="S24">
        <v>21.036000000000001</v>
      </c>
      <c r="T24">
        <v>8.5</v>
      </c>
    </row>
    <row r="25" spans="1:20" x14ac:dyDescent="0.3">
      <c r="A25">
        <v>649</v>
      </c>
      <c r="C25">
        <v>29</v>
      </c>
      <c r="D25">
        <v>6775</v>
      </c>
      <c r="E25" t="s">
        <v>34</v>
      </c>
      <c r="F25" t="s">
        <v>35</v>
      </c>
      <c r="G25" t="s">
        <v>22</v>
      </c>
      <c r="H25" t="s">
        <v>23</v>
      </c>
      <c r="I25" t="s">
        <v>37</v>
      </c>
      <c r="J25">
        <v>33.520000000000003</v>
      </c>
      <c r="K25">
        <v>1</v>
      </c>
      <c r="L25">
        <v>1.6759999999999999</v>
      </c>
      <c r="M25">
        <v>35.195999999999998</v>
      </c>
      <c r="N25" s="1">
        <v>43504</v>
      </c>
      <c r="O25" s="2">
        <v>0.64652777777777781</v>
      </c>
      <c r="P25" t="s">
        <v>30</v>
      </c>
      <c r="Q25">
        <v>33.520000000000003</v>
      </c>
      <c r="R25">
        <v>4.7619047620000003</v>
      </c>
      <c r="S25">
        <v>1.6759999999999999</v>
      </c>
      <c r="T25">
        <v>6.7</v>
      </c>
    </row>
    <row r="26" spans="1:20" x14ac:dyDescent="0.3">
      <c r="A26">
        <v>189</v>
      </c>
      <c r="C26">
        <v>17</v>
      </c>
      <c r="D26">
        <v>4241</v>
      </c>
      <c r="E26" t="s">
        <v>20</v>
      </c>
      <c r="F26" t="s">
        <v>21</v>
      </c>
      <c r="G26" t="s">
        <v>22</v>
      </c>
      <c r="H26" t="s">
        <v>23</v>
      </c>
      <c r="I26" t="s">
        <v>37</v>
      </c>
      <c r="J26">
        <v>87.67</v>
      </c>
      <c r="K26">
        <v>2</v>
      </c>
      <c r="L26">
        <v>8.7669999999999995</v>
      </c>
      <c r="M26">
        <v>184.107</v>
      </c>
      <c r="N26" s="1">
        <v>43534</v>
      </c>
      <c r="O26" s="2">
        <v>0.51180555555555551</v>
      </c>
      <c r="P26" t="s">
        <v>32</v>
      </c>
      <c r="Q26">
        <v>175.34</v>
      </c>
      <c r="R26">
        <v>4.7619047620000003</v>
      </c>
      <c r="S26">
        <v>8.7669999999999995</v>
      </c>
      <c r="T26">
        <v>7.7</v>
      </c>
    </row>
    <row r="27" spans="1:20" x14ac:dyDescent="0.3">
      <c r="A27">
        <v>145</v>
      </c>
      <c r="C27">
        <v>94</v>
      </c>
      <c r="D27">
        <v>9061</v>
      </c>
      <c r="E27" t="s">
        <v>34</v>
      </c>
      <c r="F27" t="s">
        <v>35</v>
      </c>
      <c r="G27" t="s">
        <v>22</v>
      </c>
      <c r="H27" t="s">
        <v>23</v>
      </c>
      <c r="I27" t="s">
        <v>36</v>
      </c>
      <c r="J27">
        <v>88.36</v>
      </c>
      <c r="K27">
        <v>5</v>
      </c>
      <c r="L27">
        <v>22.09</v>
      </c>
      <c r="M27">
        <v>463.89</v>
      </c>
      <c r="N27" s="1">
        <v>43490</v>
      </c>
      <c r="O27" s="2">
        <v>0.82499999999999996</v>
      </c>
      <c r="P27" t="s">
        <v>30</v>
      </c>
      <c r="Q27">
        <v>441.8</v>
      </c>
      <c r="R27">
        <v>4.7619047620000003</v>
      </c>
      <c r="S27">
        <v>22.09</v>
      </c>
      <c r="T27">
        <v>9.6</v>
      </c>
    </row>
    <row r="28" spans="1:20" x14ac:dyDescent="0.3">
      <c r="A28">
        <v>848</v>
      </c>
      <c r="C28">
        <v>62</v>
      </c>
      <c r="D28">
        <v>7243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>
        <v>24.89</v>
      </c>
      <c r="K28">
        <v>9</v>
      </c>
      <c r="L28">
        <v>11.2005</v>
      </c>
      <c r="M28">
        <v>235.2105</v>
      </c>
      <c r="N28" s="1">
        <v>43539</v>
      </c>
      <c r="O28" s="2">
        <v>0.65</v>
      </c>
      <c r="P28" t="s">
        <v>30</v>
      </c>
      <c r="Q28">
        <v>224.01</v>
      </c>
      <c r="R28">
        <v>4.7619047620000003</v>
      </c>
      <c r="S28">
        <v>11.2005</v>
      </c>
      <c r="T28">
        <v>7.4</v>
      </c>
    </row>
    <row r="29" spans="1:20" x14ac:dyDescent="0.3">
      <c r="A29">
        <v>871</v>
      </c>
      <c r="C29">
        <v>79</v>
      </c>
      <c r="D29">
        <v>8483</v>
      </c>
      <c r="E29" t="s">
        <v>34</v>
      </c>
      <c r="F29" t="s">
        <v>35</v>
      </c>
      <c r="G29" t="s">
        <v>22</v>
      </c>
      <c r="H29" t="s">
        <v>23</v>
      </c>
      <c r="I29" t="s">
        <v>37</v>
      </c>
      <c r="J29">
        <v>94.13</v>
      </c>
      <c r="K29">
        <v>5</v>
      </c>
      <c r="L29">
        <v>23.532499999999999</v>
      </c>
      <c r="M29">
        <v>494.1825</v>
      </c>
      <c r="N29" s="1">
        <v>43521</v>
      </c>
      <c r="O29" s="2">
        <v>0.81874999999999998</v>
      </c>
      <c r="P29" t="s">
        <v>32</v>
      </c>
      <c r="Q29">
        <v>470.65</v>
      </c>
      <c r="R29">
        <v>4.7619047620000003</v>
      </c>
      <c r="S29">
        <v>23.532499999999999</v>
      </c>
      <c r="T29">
        <v>4.8</v>
      </c>
    </row>
    <row r="30" spans="1:20" x14ac:dyDescent="0.3">
      <c r="A30">
        <v>149</v>
      </c>
      <c r="C30">
        <v>71</v>
      </c>
      <c r="D30">
        <v>6266</v>
      </c>
      <c r="E30" t="s">
        <v>34</v>
      </c>
      <c r="F30" t="s">
        <v>35</v>
      </c>
      <c r="G30" t="s">
        <v>22</v>
      </c>
      <c r="H30" t="s">
        <v>23</v>
      </c>
      <c r="I30" t="s">
        <v>33</v>
      </c>
      <c r="J30">
        <v>78.069999999999993</v>
      </c>
      <c r="K30">
        <v>9</v>
      </c>
      <c r="L30">
        <v>35.131500000000003</v>
      </c>
      <c r="M30">
        <v>737.76149999999996</v>
      </c>
      <c r="N30" s="1">
        <v>43493</v>
      </c>
      <c r="O30" s="2">
        <v>0.52986111111111112</v>
      </c>
      <c r="P30" t="s">
        <v>30</v>
      </c>
      <c r="Q30">
        <v>702.63</v>
      </c>
      <c r="R30">
        <v>4.7619047620000003</v>
      </c>
      <c r="S30">
        <v>35.131500000000003</v>
      </c>
      <c r="T30">
        <v>4.5</v>
      </c>
    </row>
    <row r="31" spans="1:20" x14ac:dyDescent="0.3">
      <c r="A31">
        <v>183</v>
      </c>
      <c r="C31">
        <v>56</v>
      </c>
      <c r="D31">
        <v>6882</v>
      </c>
      <c r="E31" t="s">
        <v>26</v>
      </c>
      <c r="F31" t="s">
        <v>27</v>
      </c>
      <c r="G31" t="s">
        <v>22</v>
      </c>
      <c r="H31" t="s">
        <v>23</v>
      </c>
      <c r="I31" t="s">
        <v>36</v>
      </c>
      <c r="J31">
        <v>99.42</v>
      </c>
      <c r="K31">
        <v>4</v>
      </c>
      <c r="L31">
        <v>19.884</v>
      </c>
      <c r="M31">
        <v>417.56400000000002</v>
      </c>
      <c r="N31" s="1">
        <v>43502</v>
      </c>
      <c r="O31" s="2">
        <v>0.44583333333333336</v>
      </c>
      <c r="P31" t="s">
        <v>25</v>
      </c>
      <c r="Q31">
        <v>397.68</v>
      </c>
      <c r="R31">
        <v>4.7619047620000003</v>
      </c>
      <c r="S31">
        <v>19.884</v>
      </c>
      <c r="T31">
        <v>7.5</v>
      </c>
    </row>
    <row r="32" spans="1:20" x14ac:dyDescent="0.3">
      <c r="A32">
        <v>232</v>
      </c>
      <c r="C32">
        <v>16</v>
      </c>
      <c r="D32">
        <v>2483</v>
      </c>
      <c r="E32" t="s">
        <v>26</v>
      </c>
      <c r="F32" t="s">
        <v>27</v>
      </c>
      <c r="G32" t="s">
        <v>22</v>
      </c>
      <c r="H32" t="s">
        <v>23</v>
      </c>
      <c r="I32" t="s">
        <v>33</v>
      </c>
      <c r="J32">
        <v>68.12</v>
      </c>
      <c r="K32">
        <v>1</v>
      </c>
      <c r="L32">
        <v>3.4060000000000001</v>
      </c>
      <c r="M32">
        <v>71.525999999999996</v>
      </c>
      <c r="N32" s="1">
        <v>43472</v>
      </c>
      <c r="O32" s="2">
        <v>0.51944444444444449</v>
      </c>
      <c r="P32" t="s">
        <v>25</v>
      </c>
      <c r="Q32">
        <v>68.12</v>
      </c>
      <c r="R32">
        <v>4.7619047620000003</v>
      </c>
      <c r="S32">
        <v>3.4060000000000001</v>
      </c>
      <c r="T32">
        <v>6.8</v>
      </c>
    </row>
    <row r="33" spans="1:20" x14ac:dyDescent="0.3">
      <c r="A33">
        <v>129</v>
      </c>
      <c r="C33">
        <v>29</v>
      </c>
      <c r="D33">
        <v>8530</v>
      </c>
      <c r="E33" t="s">
        <v>20</v>
      </c>
      <c r="F33" t="s">
        <v>21</v>
      </c>
      <c r="G33" t="s">
        <v>22</v>
      </c>
      <c r="H33" t="s">
        <v>23</v>
      </c>
      <c r="I33" t="s">
        <v>33</v>
      </c>
      <c r="J33">
        <v>62.62</v>
      </c>
      <c r="K33">
        <v>5</v>
      </c>
      <c r="L33">
        <v>15.654999999999999</v>
      </c>
      <c r="M33">
        <v>328.755</v>
      </c>
      <c r="N33" s="1">
        <v>43534</v>
      </c>
      <c r="O33" s="2">
        <v>0.80208333333333337</v>
      </c>
      <c r="P33" t="s">
        <v>25</v>
      </c>
      <c r="Q33">
        <v>313.10000000000002</v>
      </c>
      <c r="R33">
        <v>4.7619047620000003</v>
      </c>
      <c r="S33">
        <v>15.654999999999999</v>
      </c>
      <c r="T33">
        <v>7</v>
      </c>
    </row>
    <row r="34" spans="1:20" x14ac:dyDescent="0.3">
      <c r="A34">
        <v>272</v>
      </c>
      <c r="C34">
        <v>65</v>
      </c>
      <c r="D34">
        <v>1806</v>
      </c>
      <c r="E34" t="s">
        <v>20</v>
      </c>
      <c r="F34" t="s">
        <v>21</v>
      </c>
      <c r="G34" t="s">
        <v>22</v>
      </c>
      <c r="H34" t="s">
        <v>23</v>
      </c>
      <c r="I34" t="s">
        <v>29</v>
      </c>
      <c r="J34">
        <v>60.88</v>
      </c>
      <c r="K34">
        <v>9</v>
      </c>
      <c r="L34">
        <v>27.396000000000001</v>
      </c>
      <c r="M34">
        <v>575.31600000000003</v>
      </c>
      <c r="N34" s="1">
        <v>43480</v>
      </c>
      <c r="O34" s="2">
        <v>0.72013888888888888</v>
      </c>
      <c r="P34" t="s">
        <v>25</v>
      </c>
      <c r="Q34">
        <v>547.91999999999996</v>
      </c>
      <c r="R34">
        <v>4.7619047620000003</v>
      </c>
      <c r="S34">
        <v>27.396000000000001</v>
      </c>
      <c r="T34">
        <v>4.7</v>
      </c>
    </row>
    <row r="35" spans="1:20" x14ac:dyDescent="0.3">
      <c r="A35">
        <v>333</v>
      </c>
      <c r="C35">
        <v>73</v>
      </c>
      <c r="D35">
        <v>7901</v>
      </c>
      <c r="E35" t="s">
        <v>26</v>
      </c>
      <c r="F35" t="s">
        <v>27</v>
      </c>
      <c r="G35" t="s">
        <v>22</v>
      </c>
      <c r="H35" t="s">
        <v>23</v>
      </c>
      <c r="I35" t="s">
        <v>24</v>
      </c>
      <c r="J35">
        <v>54.92</v>
      </c>
      <c r="K35">
        <v>8</v>
      </c>
      <c r="L35">
        <v>21.968</v>
      </c>
      <c r="M35">
        <v>461.32799999999997</v>
      </c>
      <c r="N35" s="1">
        <v>43547</v>
      </c>
      <c r="O35" s="2">
        <v>0.55833333333333335</v>
      </c>
      <c r="P35" t="s">
        <v>25</v>
      </c>
      <c r="Q35">
        <v>439.36</v>
      </c>
      <c r="R35">
        <v>4.7619047620000003</v>
      </c>
      <c r="S35">
        <v>21.968</v>
      </c>
      <c r="T35">
        <v>7.6</v>
      </c>
    </row>
    <row r="36" spans="1:20" x14ac:dyDescent="0.3">
      <c r="A36">
        <v>777</v>
      </c>
      <c r="C36">
        <v>82</v>
      </c>
      <c r="D36">
        <v>7220</v>
      </c>
      <c r="E36" t="s">
        <v>34</v>
      </c>
      <c r="F36" t="s">
        <v>35</v>
      </c>
      <c r="G36" t="s">
        <v>22</v>
      </c>
      <c r="H36" t="s">
        <v>23</v>
      </c>
      <c r="I36" t="s">
        <v>31</v>
      </c>
      <c r="J36">
        <v>30.12</v>
      </c>
      <c r="K36">
        <v>8</v>
      </c>
      <c r="L36">
        <v>12.048</v>
      </c>
      <c r="M36">
        <v>253.00800000000001</v>
      </c>
      <c r="N36" s="1">
        <v>43527</v>
      </c>
      <c r="O36" s="2">
        <v>0.54236111111111107</v>
      </c>
      <c r="P36" t="s">
        <v>30</v>
      </c>
      <c r="Q36">
        <v>240.96</v>
      </c>
      <c r="R36">
        <v>4.7619047620000003</v>
      </c>
      <c r="S36">
        <v>12.048</v>
      </c>
      <c r="T36">
        <v>7.7</v>
      </c>
    </row>
    <row r="37" spans="1:20" x14ac:dyDescent="0.3">
      <c r="A37">
        <v>280</v>
      </c>
      <c r="C37">
        <v>35</v>
      </c>
      <c r="D37">
        <v>5823</v>
      </c>
      <c r="E37" t="s">
        <v>34</v>
      </c>
      <c r="F37" t="s">
        <v>35</v>
      </c>
      <c r="G37" t="s">
        <v>22</v>
      </c>
      <c r="H37" t="s">
        <v>23</v>
      </c>
      <c r="I37" t="s">
        <v>31</v>
      </c>
      <c r="J37">
        <v>86.72</v>
      </c>
      <c r="K37">
        <v>1</v>
      </c>
      <c r="L37">
        <v>4.3360000000000003</v>
      </c>
      <c r="M37">
        <v>91.055999999999997</v>
      </c>
      <c r="N37" s="1">
        <v>43482</v>
      </c>
      <c r="O37" s="2">
        <v>0.78125</v>
      </c>
      <c r="P37" t="s">
        <v>25</v>
      </c>
      <c r="Q37">
        <v>86.72</v>
      </c>
      <c r="R37">
        <v>4.7619047620000003</v>
      </c>
      <c r="S37">
        <v>4.3360000000000003</v>
      </c>
      <c r="T37">
        <v>7.9</v>
      </c>
    </row>
    <row r="38" spans="1:20" x14ac:dyDescent="0.3">
      <c r="A38">
        <v>554</v>
      </c>
      <c r="C38">
        <v>53</v>
      </c>
      <c r="D38">
        <v>8700</v>
      </c>
      <c r="E38" t="s">
        <v>26</v>
      </c>
      <c r="F38" t="s">
        <v>27</v>
      </c>
      <c r="G38" t="s">
        <v>22</v>
      </c>
      <c r="H38" t="s">
        <v>23</v>
      </c>
      <c r="I38" t="s">
        <v>31</v>
      </c>
      <c r="J38">
        <v>56.11</v>
      </c>
      <c r="K38">
        <v>2</v>
      </c>
      <c r="L38">
        <v>5.6109999999999998</v>
      </c>
      <c r="M38">
        <v>117.831</v>
      </c>
      <c r="N38" s="1">
        <v>43498</v>
      </c>
      <c r="O38" s="2">
        <v>0.42430555555555555</v>
      </c>
      <c r="P38" t="s">
        <v>30</v>
      </c>
      <c r="Q38">
        <v>112.22</v>
      </c>
      <c r="R38">
        <v>4.7619047620000003</v>
      </c>
      <c r="S38">
        <v>5.6109999999999998</v>
      </c>
      <c r="T38">
        <v>6.3</v>
      </c>
    </row>
    <row r="39" spans="1:20" x14ac:dyDescent="0.3">
      <c r="A39">
        <v>354</v>
      </c>
      <c r="C39">
        <v>25</v>
      </c>
      <c r="D39">
        <v>5821</v>
      </c>
      <c r="E39" t="s">
        <v>34</v>
      </c>
      <c r="F39" t="s">
        <v>35</v>
      </c>
      <c r="G39" t="s">
        <v>22</v>
      </c>
      <c r="H39" t="s">
        <v>23</v>
      </c>
      <c r="I39" t="s">
        <v>33</v>
      </c>
      <c r="J39">
        <v>69.12</v>
      </c>
      <c r="K39">
        <v>6</v>
      </c>
      <c r="L39">
        <v>20.736000000000001</v>
      </c>
      <c r="M39">
        <v>435.45600000000002</v>
      </c>
      <c r="N39" s="1">
        <v>43504</v>
      </c>
      <c r="O39" s="2">
        <v>0.54374999999999996</v>
      </c>
      <c r="P39" t="s">
        <v>30</v>
      </c>
      <c r="Q39">
        <v>414.72</v>
      </c>
      <c r="R39">
        <v>4.7619047620000003</v>
      </c>
      <c r="S39">
        <v>20.736000000000001</v>
      </c>
      <c r="T39">
        <v>5.6</v>
      </c>
    </row>
    <row r="40" spans="1:20" x14ac:dyDescent="0.3">
      <c r="A40">
        <v>228</v>
      </c>
      <c r="C40">
        <v>96</v>
      </c>
      <c r="D40">
        <v>1411</v>
      </c>
      <c r="E40" t="s">
        <v>26</v>
      </c>
      <c r="F40" t="s">
        <v>27</v>
      </c>
      <c r="G40" t="s">
        <v>22</v>
      </c>
      <c r="H40" t="s">
        <v>23</v>
      </c>
      <c r="I40" t="s">
        <v>36</v>
      </c>
      <c r="J40">
        <v>98.7</v>
      </c>
      <c r="K40">
        <v>8</v>
      </c>
      <c r="L40">
        <v>39.479999999999997</v>
      </c>
      <c r="M40">
        <v>829.08</v>
      </c>
      <c r="N40" s="1">
        <v>43528</v>
      </c>
      <c r="O40" s="2">
        <v>0.86041666666666672</v>
      </c>
      <c r="P40" t="s">
        <v>30</v>
      </c>
      <c r="Q40">
        <v>789.6</v>
      </c>
      <c r="R40">
        <v>4.7619047620000003</v>
      </c>
      <c r="S40">
        <v>39.479999999999997</v>
      </c>
      <c r="T40">
        <v>7.6</v>
      </c>
    </row>
    <row r="41" spans="1:20" x14ac:dyDescent="0.3">
      <c r="A41">
        <v>617</v>
      </c>
      <c r="C41">
        <v>15</v>
      </c>
      <c r="D41">
        <v>4209</v>
      </c>
      <c r="E41" t="s">
        <v>26</v>
      </c>
      <c r="F41" t="s">
        <v>27</v>
      </c>
      <c r="G41" t="s">
        <v>22</v>
      </c>
      <c r="H41" t="s">
        <v>23</v>
      </c>
      <c r="I41" t="s">
        <v>24</v>
      </c>
      <c r="J41">
        <v>15.37</v>
      </c>
      <c r="K41">
        <v>2</v>
      </c>
      <c r="L41">
        <v>1.5369999999999999</v>
      </c>
      <c r="M41">
        <v>32.277000000000001</v>
      </c>
      <c r="N41" s="1">
        <v>43540</v>
      </c>
      <c r="O41" s="2">
        <v>0.82430555555555551</v>
      </c>
      <c r="P41" t="s">
        <v>30</v>
      </c>
      <c r="Q41">
        <v>30.74</v>
      </c>
      <c r="R41">
        <v>4.7619047620000003</v>
      </c>
      <c r="S41">
        <v>1.5369999999999999</v>
      </c>
      <c r="T41">
        <v>7.2</v>
      </c>
    </row>
    <row r="42" spans="1:20" x14ac:dyDescent="0.3">
      <c r="A42">
        <v>132</v>
      </c>
      <c r="C42">
        <v>32</v>
      </c>
      <c r="D42">
        <v>9879</v>
      </c>
      <c r="E42" t="s">
        <v>34</v>
      </c>
      <c r="F42" t="s">
        <v>35</v>
      </c>
      <c r="G42" t="s">
        <v>22</v>
      </c>
      <c r="H42" t="s">
        <v>23</v>
      </c>
      <c r="I42" t="s">
        <v>29</v>
      </c>
      <c r="J42">
        <v>93.96</v>
      </c>
      <c r="K42">
        <v>4</v>
      </c>
      <c r="L42">
        <v>18.792000000000002</v>
      </c>
      <c r="M42">
        <v>394.63200000000001</v>
      </c>
      <c r="N42" s="1">
        <v>43533</v>
      </c>
      <c r="O42" s="2">
        <v>0.75</v>
      </c>
      <c r="P42" t="s">
        <v>30</v>
      </c>
      <c r="Q42">
        <v>375.84</v>
      </c>
      <c r="R42">
        <v>4.7619047620000003</v>
      </c>
      <c r="S42">
        <v>18.792000000000002</v>
      </c>
      <c r="T42">
        <v>9.5</v>
      </c>
    </row>
    <row r="43" spans="1:20" x14ac:dyDescent="0.3">
      <c r="A43">
        <v>370</v>
      </c>
      <c r="C43">
        <v>41</v>
      </c>
      <c r="D43">
        <v>7321</v>
      </c>
      <c r="E43" t="s">
        <v>34</v>
      </c>
      <c r="F43" t="s">
        <v>35</v>
      </c>
      <c r="G43" t="s">
        <v>22</v>
      </c>
      <c r="H43" t="s">
        <v>23</v>
      </c>
      <c r="I43" t="s">
        <v>24</v>
      </c>
      <c r="J43">
        <v>56.69</v>
      </c>
      <c r="K43">
        <v>9</v>
      </c>
      <c r="L43">
        <v>25.5105</v>
      </c>
      <c r="M43">
        <v>535.72050000000002</v>
      </c>
      <c r="N43" s="1">
        <v>43523</v>
      </c>
      <c r="O43" s="2">
        <v>0.72499999999999998</v>
      </c>
      <c r="P43" t="s">
        <v>32</v>
      </c>
      <c r="Q43">
        <v>510.21</v>
      </c>
      <c r="R43">
        <v>4.7619047620000003</v>
      </c>
      <c r="S43">
        <v>25.5105</v>
      </c>
      <c r="T43">
        <v>8.4</v>
      </c>
    </row>
    <row r="44" spans="1:20" x14ac:dyDescent="0.3">
      <c r="A44">
        <v>727</v>
      </c>
      <c r="C44">
        <v>46</v>
      </c>
      <c r="D44">
        <v>3608</v>
      </c>
      <c r="E44" t="s">
        <v>34</v>
      </c>
      <c r="F44" t="s">
        <v>35</v>
      </c>
      <c r="G44" t="s">
        <v>22</v>
      </c>
      <c r="H44" t="s">
        <v>23</v>
      </c>
      <c r="I44" t="s">
        <v>36</v>
      </c>
      <c r="J44">
        <v>20.010000000000002</v>
      </c>
      <c r="K44">
        <v>9</v>
      </c>
      <c r="L44">
        <v>9.0045000000000002</v>
      </c>
      <c r="M44">
        <v>189.09450000000001</v>
      </c>
      <c r="N44" s="1">
        <v>43502</v>
      </c>
      <c r="O44" s="2">
        <v>0.65763888888888888</v>
      </c>
      <c r="P44" t="s">
        <v>25</v>
      </c>
      <c r="Q44">
        <v>180.09</v>
      </c>
      <c r="R44">
        <v>4.7619047620000003</v>
      </c>
      <c r="S44">
        <v>9.0045000000000002</v>
      </c>
      <c r="T44">
        <v>4.0999999999999996</v>
      </c>
    </row>
    <row r="45" spans="1:20" x14ac:dyDescent="0.3">
      <c r="A45">
        <v>669</v>
      </c>
      <c r="C45">
        <v>54</v>
      </c>
      <c r="D45">
        <v>1719</v>
      </c>
      <c r="E45" t="s">
        <v>34</v>
      </c>
      <c r="F45" t="s">
        <v>35</v>
      </c>
      <c r="G45" t="s">
        <v>22</v>
      </c>
      <c r="H45" t="s">
        <v>23</v>
      </c>
      <c r="I45" t="s">
        <v>29</v>
      </c>
      <c r="J45">
        <v>18.93</v>
      </c>
      <c r="K45">
        <v>6</v>
      </c>
      <c r="L45">
        <v>5.6790000000000003</v>
      </c>
      <c r="M45">
        <v>119.259</v>
      </c>
      <c r="N45" s="1">
        <v>43506</v>
      </c>
      <c r="O45" s="2">
        <v>0.53125</v>
      </c>
      <c r="P45" t="s">
        <v>32</v>
      </c>
      <c r="Q45">
        <v>113.58</v>
      </c>
      <c r="R45">
        <v>4.7619047620000003</v>
      </c>
      <c r="S45">
        <v>5.6790000000000003</v>
      </c>
      <c r="T45">
        <v>8.1</v>
      </c>
    </row>
    <row r="46" spans="1:20" x14ac:dyDescent="0.3">
      <c r="A46">
        <v>574</v>
      </c>
      <c r="C46">
        <v>22</v>
      </c>
      <c r="D46">
        <v>5561</v>
      </c>
      <c r="E46" t="s">
        <v>26</v>
      </c>
      <c r="F46" t="s">
        <v>27</v>
      </c>
      <c r="G46" t="s">
        <v>22</v>
      </c>
      <c r="H46" t="s">
        <v>23</v>
      </c>
      <c r="I46" t="s">
        <v>37</v>
      </c>
      <c r="J46">
        <v>82.63</v>
      </c>
      <c r="K46">
        <v>10</v>
      </c>
      <c r="L46">
        <v>41.314999999999998</v>
      </c>
      <c r="M46">
        <v>867.61500000000001</v>
      </c>
      <c r="N46" s="1">
        <v>43543</v>
      </c>
      <c r="O46" s="2">
        <v>0.71388888888888891</v>
      </c>
      <c r="P46" t="s">
        <v>25</v>
      </c>
      <c r="Q46">
        <v>826.3</v>
      </c>
      <c r="R46">
        <v>4.7619047620000003</v>
      </c>
      <c r="S46">
        <v>41.314999999999998</v>
      </c>
      <c r="T46">
        <v>7.9</v>
      </c>
    </row>
    <row r="47" spans="1:20" x14ac:dyDescent="0.3">
      <c r="A47">
        <v>326</v>
      </c>
      <c r="C47">
        <v>78</v>
      </c>
      <c r="D47">
        <v>5178</v>
      </c>
      <c r="E47" t="s">
        <v>26</v>
      </c>
      <c r="F47" t="s">
        <v>27</v>
      </c>
      <c r="G47" t="s">
        <v>22</v>
      </c>
      <c r="H47" t="s">
        <v>23</v>
      </c>
      <c r="I47" t="s">
        <v>36</v>
      </c>
      <c r="J47">
        <v>91.4</v>
      </c>
      <c r="K47">
        <v>7</v>
      </c>
      <c r="L47">
        <v>31.99</v>
      </c>
      <c r="M47">
        <v>671.79</v>
      </c>
      <c r="N47" s="1">
        <v>43499</v>
      </c>
      <c r="O47" s="2">
        <v>0.42986111111111114</v>
      </c>
      <c r="P47" t="s">
        <v>30</v>
      </c>
      <c r="Q47">
        <v>639.79999999999995</v>
      </c>
      <c r="R47">
        <v>4.7619047620000003</v>
      </c>
      <c r="S47">
        <v>31.99</v>
      </c>
      <c r="T47">
        <v>9.5</v>
      </c>
    </row>
    <row r="48" spans="1:20" x14ac:dyDescent="0.3">
      <c r="A48">
        <v>162</v>
      </c>
      <c r="C48">
        <v>48</v>
      </c>
      <c r="D48">
        <v>8011</v>
      </c>
      <c r="E48" t="s">
        <v>20</v>
      </c>
      <c r="F48" t="s">
        <v>21</v>
      </c>
      <c r="G48" t="s">
        <v>22</v>
      </c>
      <c r="H48" t="s">
        <v>23</v>
      </c>
      <c r="I48" t="s">
        <v>36</v>
      </c>
      <c r="J48">
        <v>44.59</v>
      </c>
      <c r="K48">
        <v>5</v>
      </c>
      <c r="L48">
        <v>11.147500000000001</v>
      </c>
      <c r="M48">
        <v>234.0975</v>
      </c>
      <c r="N48" s="1">
        <v>43506</v>
      </c>
      <c r="O48" s="2">
        <v>0.63194444444444442</v>
      </c>
      <c r="P48" t="s">
        <v>30</v>
      </c>
      <c r="Q48">
        <v>222.95</v>
      </c>
      <c r="R48">
        <v>4.7619047620000003</v>
      </c>
      <c r="S48">
        <v>11.147500000000001</v>
      </c>
      <c r="T48">
        <v>8.5</v>
      </c>
    </row>
    <row r="49" spans="1:20" x14ac:dyDescent="0.3">
      <c r="A49">
        <v>616</v>
      </c>
      <c r="C49">
        <v>24</v>
      </c>
      <c r="D49">
        <v>2851</v>
      </c>
      <c r="E49" t="s">
        <v>34</v>
      </c>
      <c r="F49" t="s">
        <v>35</v>
      </c>
      <c r="G49" t="s">
        <v>22</v>
      </c>
      <c r="H49" t="s">
        <v>23</v>
      </c>
      <c r="I49" t="s">
        <v>37</v>
      </c>
      <c r="J49">
        <v>17.87</v>
      </c>
      <c r="K49">
        <v>4</v>
      </c>
      <c r="L49">
        <v>3.5739999999999998</v>
      </c>
      <c r="M49">
        <v>75.054000000000002</v>
      </c>
      <c r="N49" s="1">
        <v>43546</v>
      </c>
      <c r="O49" s="2">
        <v>0.61250000000000004</v>
      </c>
      <c r="P49" t="s">
        <v>25</v>
      </c>
      <c r="Q49">
        <v>71.48</v>
      </c>
      <c r="R49">
        <v>4.7619047620000003</v>
      </c>
      <c r="S49">
        <v>3.5739999999999998</v>
      </c>
      <c r="T49">
        <v>6.5</v>
      </c>
    </row>
    <row r="50" spans="1:20" x14ac:dyDescent="0.3">
      <c r="A50">
        <v>778</v>
      </c>
      <c r="C50">
        <v>71</v>
      </c>
      <c r="D50">
        <v>5554</v>
      </c>
      <c r="E50" t="s">
        <v>26</v>
      </c>
      <c r="F50" t="s">
        <v>27</v>
      </c>
      <c r="G50" t="s">
        <v>22</v>
      </c>
      <c r="H50" t="s">
        <v>23</v>
      </c>
      <c r="I50" t="s">
        <v>37</v>
      </c>
      <c r="J50">
        <v>15.43</v>
      </c>
      <c r="K50">
        <v>1</v>
      </c>
      <c r="L50">
        <v>0.77149999999999996</v>
      </c>
      <c r="M50">
        <v>16.201499999999999</v>
      </c>
      <c r="N50" s="1">
        <v>43490</v>
      </c>
      <c r="O50" s="2">
        <v>0.65694444444444444</v>
      </c>
      <c r="P50" t="s">
        <v>32</v>
      </c>
      <c r="Q50">
        <v>15.43</v>
      </c>
      <c r="R50">
        <v>4.7619047620000003</v>
      </c>
      <c r="S50">
        <v>0.77149999999999996</v>
      </c>
      <c r="T50">
        <v>6.1</v>
      </c>
    </row>
    <row r="51" spans="1:20" x14ac:dyDescent="0.3">
      <c r="A51">
        <v>242</v>
      </c>
      <c r="C51">
        <v>55</v>
      </c>
      <c r="D51">
        <v>6721</v>
      </c>
      <c r="E51" t="s">
        <v>34</v>
      </c>
      <c r="F51" t="s">
        <v>35</v>
      </c>
      <c r="G51" t="s">
        <v>22</v>
      </c>
      <c r="H51" t="s">
        <v>23</v>
      </c>
      <c r="I51" t="s">
        <v>31</v>
      </c>
      <c r="J51">
        <v>16.16</v>
      </c>
      <c r="K51">
        <v>2</v>
      </c>
      <c r="L51">
        <v>1.6160000000000001</v>
      </c>
      <c r="M51">
        <v>33.936</v>
      </c>
      <c r="N51" s="1">
        <v>43531</v>
      </c>
      <c r="O51" s="2">
        <v>0.49236111111111114</v>
      </c>
      <c r="P51" t="s">
        <v>25</v>
      </c>
      <c r="Q51">
        <v>32.32</v>
      </c>
      <c r="R51">
        <v>4.7619047620000003</v>
      </c>
      <c r="S51">
        <v>1.6160000000000001</v>
      </c>
      <c r="T51">
        <v>6.5</v>
      </c>
    </row>
    <row r="52" spans="1:20" x14ac:dyDescent="0.3">
      <c r="A52">
        <v>399</v>
      </c>
      <c r="C52">
        <v>46</v>
      </c>
      <c r="D52">
        <v>5918</v>
      </c>
      <c r="E52" t="s">
        <v>26</v>
      </c>
      <c r="F52" t="s">
        <v>27</v>
      </c>
      <c r="G52" t="s">
        <v>22</v>
      </c>
      <c r="H52" t="s">
        <v>23</v>
      </c>
      <c r="I52" t="s">
        <v>29</v>
      </c>
      <c r="J52">
        <v>85.98</v>
      </c>
      <c r="K52">
        <v>8</v>
      </c>
      <c r="L52">
        <v>34.392000000000003</v>
      </c>
      <c r="M52">
        <v>722.23199999999997</v>
      </c>
      <c r="N52" s="1">
        <v>43524</v>
      </c>
      <c r="O52" s="2">
        <v>0.79236111111111107</v>
      </c>
      <c r="P52" t="s">
        <v>30</v>
      </c>
      <c r="Q52">
        <v>687.84</v>
      </c>
      <c r="R52">
        <v>4.7619047620000003</v>
      </c>
      <c r="S52">
        <v>34.392000000000003</v>
      </c>
      <c r="T52">
        <v>8.1999999999999993</v>
      </c>
    </row>
    <row r="53" spans="1:20" x14ac:dyDescent="0.3">
      <c r="A53">
        <v>106</v>
      </c>
      <c r="C53">
        <v>35</v>
      </c>
      <c r="D53">
        <v>6779</v>
      </c>
      <c r="E53" t="s">
        <v>20</v>
      </c>
      <c r="F53" t="s">
        <v>21</v>
      </c>
      <c r="G53" t="s">
        <v>22</v>
      </c>
      <c r="H53" t="s">
        <v>23</v>
      </c>
      <c r="I53" t="s">
        <v>31</v>
      </c>
      <c r="J53">
        <v>44.34</v>
      </c>
      <c r="K53">
        <v>2</v>
      </c>
      <c r="L53">
        <v>4.4340000000000002</v>
      </c>
      <c r="M53">
        <v>93.114000000000004</v>
      </c>
      <c r="N53" s="1">
        <v>43551</v>
      </c>
      <c r="O53" s="2">
        <v>0.47638888888888886</v>
      </c>
      <c r="P53" t="s">
        <v>30</v>
      </c>
      <c r="Q53">
        <v>88.68</v>
      </c>
      <c r="R53">
        <v>4.7619047620000003</v>
      </c>
      <c r="S53">
        <v>4.4340000000000002</v>
      </c>
      <c r="T53">
        <v>5.8</v>
      </c>
    </row>
    <row r="54" spans="1:20" x14ac:dyDescent="0.3">
      <c r="A54">
        <v>635</v>
      </c>
      <c r="C54">
        <v>40</v>
      </c>
      <c r="D54">
        <v>6220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>
        <v>89.6</v>
      </c>
      <c r="K54">
        <v>8</v>
      </c>
      <c r="L54">
        <v>35.840000000000003</v>
      </c>
      <c r="M54">
        <v>752.64</v>
      </c>
      <c r="N54" s="1">
        <v>43503</v>
      </c>
      <c r="O54" s="2">
        <v>0.4777777777777778</v>
      </c>
      <c r="P54" t="s">
        <v>25</v>
      </c>
      <c r="Q54">
        <v>716.8</v>
      </c>
      <c r="R54">
        <v>4.7619047620000003</v>
      </c>
      <c r="S54">
        <v>35.840000000000003</v>
      </c>
      <c r="T54">
        <v>6.6</v>
      </c>
    </row>
    <row r="55" spans="1:20" x14ac:dyDescent="0.3">
      <c r="A55">
        <v>817</v>
      </c>
      <c r="C55">
        <v>48</v>
      </c>
      <c r="D55">
        <v>8732</v>
      </c>
      <c r="E55" t="s">
        <v>20</v>
      </c>
      <c r="F55" t="s">
        <v>21</v>
      </c>
      <c r="G55" t="s">
        <v>22</v>
      </c>
      <c r="H55" t="s">
        <v>23</v>
      </c>
      <c r="I55" t="s">
        <v>31</v>
      </c>
      <c r="J55">
        <v>72.349999999999994</v>
      </c>
      <c r="K55">
        <v>10</v>
      </c>
      <c r="L55">
        <v>36.174999999999997</v>
      </c>
      <c r="M55">
        <v>759.67499999999995</v>
      </c>
      <c r="N55" s="1">
        <v>43485</v>
      </c>
      <c r="O55" s="2">
        <v>0.66319444444444442</v>
      </c>
      <c r="P55" t="s">
        <v>30</v>
      </c>
      <c r="Q55">
        <v>723.5</v>
      </c>
      <c r="R55">
        <v>4.7619047620000003</v>
      </c>
      <c r="S55">
        <v>36.174999999999997</v>
      </c>
      <c r="T55">
        <v>5.4</v>
      </c>
    </row>
    <row r="56" spans="1:20" x14ac:dyDescent="0.3">
      <c r="A56">
        <v>120</v>
      </c>
      <c r="C56">
        <v>6</v>
      </c>
      <c r="D56">
        <v>4233</v>
      </c>
      <c r="E56" t="s">
        <v>26</v>
      </c>
      <c r="F56" t="s">
        <v>27</v>
      </c>
      <c r="G56" t="s">
        <v>22</v>
      </c>
      <c r="H56" t="s">
        <v>23</v>
      </c>
      <c r="I56" t="s">
        <v>29</v>
      </c>
      <c r="J56">
        <v>30.61</v>
      </c>
      <c r="K56">
        <v>6</v>
      </c>
      <c r="L56">
        <v>9.1829999999999998</v>
      </c>
      <c r="M56">
        <v>192.84299999999999</v>
      </c>
      <c r="N56" s="1">
        <v>43536</v>
      </c>
      <c r="O56" s="2">
        <v>0.85833333333333328</v>
      </c>
      <c r="P56" t="s">
        <v>30</v>
      </c>
      <c r="Q56">
        <v>183.66</v>
      </c>
      <c r="R56">
        <v>4.7619047620000003</v>
      </c>
      <c r="S56">
        <v>9.1829999999999998</v>
      </c>
      <c r="T56">
        <v>9.3000000000000007</v>
      </c>
    </row>
    <row r="57" spans="1:20" x14ac:dyDescent="0.3">
      <c r="A57">
        <v>285</v>
      </c>
      <c r="C57">
        <v>68</v>
      </c>
      <c r="D57">
        <v>5083</v>
      </c>
      <c r="E57" t="s">
        <v>26</v>
      </c>
      <c r="F57" t="s">
        <v>27</v>
      </c>
      <c r="G57" t="s">
        <v>22</v>
      </c>
      <c r="H57" t="s">
        <v>23</v>
      </c>
      <c r="I57" t="s">
        <v>33</v>
      </c>
      <c r="J57">
        <v>24.74</v>
      </c>
      <c r="K57">
        <v>3</v>
      </c>
      <c r="L57">
        <v>3.7109999999999999</v>
      </c>
      <c r="M57">
        <v>77.930999999999997</v>
      </c>
      <c r="N57" s="1">
        <v>43511</v>
      </c>
      <c r="O57" s="2">
        <v>0.74097222222222225</v>
      </c>
      <c r="P57" t="s">
        <v>32</v>
      </c>
      <c r="Q57">
        <v>74.22</v>
      </c>
      <c r="R57">
        <v>4.7619047620000003</v>
      </c>
      <c r="S57">
        <v>3.7109999999999999</v>
      </c>
      <c r="T57">
        <v>10</v>
      </c>
    </row>
    <row r="58" spans="1:20" x14ac:dyDescent="0.3">
      <c r="A58">
        <v>347</v>
      </c>
      <c r="C58">
        <v>34</v>
      </c>
      <c r="D58">
        <v>2234</v>
      </c>
      <c r="E58" t="s">
        <v>34</v>
      </c>
      <c r="F58" t="s">
        <v>35</v>
      </c>
      <c r="G58" t="s">
        <v>22</v>
      </c>
      <c r="H58" t="s">
        <v>23</v>
      </c>
      <c r="I58" t="s">
        <v>33</v>
      </c>
      <c r="J58">
        <v>55.07</v>
      </c>
      <c r="K58">
        <v>9</v>
      </c>
      <c r="L58">
        <v>24.781500000000001</v>
      </c>
      <c r="M58">
        <v>520.41150000000005</v>
      </c>
      <c r="N58" s="1">
        <v>43499</v>
      </c>
      <c r="O58" s="2">
        <v>0.56944444444444442</v>
      </c>
      <c r="P58" t="s">
        <v>25</v>
      </c>
      <c r="Q58">
        <v>495.63</v>
      </c>
      <c r="R58">
        <v>4.7619047620000003</v>
      </c>
      <c r="S58">
        <v>24.781500000000001</v>
      </c>
      <c r="T58">
        <v>10</v>
      </c>
    </row>
    <row r="59" spans="1:20" x14ac:dyDescent="0.3">
      <c r="A59">
        <v>199</v>
      </c>
      <c r="C59">
        <v>75</v>
      </c>
      <c r="D59">
        <v>8169</v>
      </c>
      <c r="E59" t="s">
        <v>20</v>
      </c>
      <c r="F59" t="s">
        <v>21</v>
      </c>
      <c r="G59" t="s">
        <v>22</v>
      </c>
      <c r="H59" t="s">
        <v>23</v>
      </c>
      <c r="I59" t="s">
        <v>33</v>
      </c>
      <c r="J59">
        <v>15.81</v>
      </c>
      <c r="K59">
        <v>10</v>
      </c>
      <c r="L59">
        <v>7.9050000000000002</v>
      </c>
      <c r="M59">
        <v>166.005</v>
      </c>
      <c r="N59" s="1">
        <v>43530</v>
      </c>
      <c r="O59" s="2">
        <v>0.51875000000000004</v>
      </c>
      <c r="P59" t="s">
        <v>32</v>
      </c>
      <c r="Q59">
        <v>158.1</v>
      </c>
      <c r="R59">
        <v>4.7619047620000003</v>
      </c>
      <c r="S59">
        <v>7.9050000000000002</v>
      </c>
      <c r="T59">
        <v>8.6</v>
      </c>
    </row>
    <row r="60" spans="1:20" x14ac:dyDescent="0.3">
      <c r="A60">
        <v>853</v>
      </c>
      <c r="C60">
        <v>23</v>
      </c>
      <c r="D60">
        <v>2453</v>
      </c>
      <c r="E60" t="s">
        <v>34</v>
      </c>
      <c r="F60" t="s">
        <v>35</v>
      </c>
      <c r="G60" t="s">
        <v>22</v>
      </c>
      <c r="H60" t="s">
        <v>23</v>
      </c>
      <c r="I60" t="s">
        <v>24</v>
      </c>
      <c r="J60">
        <v>75.739999999999995</v>
      </c>
      <c r="K60">
        <v>4</v>
      </c>
      <c r="L60">
        <v>15.148</v>
      </c>
      <c r="M60">
        <v>318.108</v>
      </c>
      <c r="N60" s="1">
        <v>43510</v>
      </c>
      <c r="O60" s="2">
        <v>0.60763888888888884</v>
      </c>
      <c r="P60" t="s">
        <v>30</v>
      </c>
      <c r="Q60">
        <v>302.95999999999998</v>
      </c>
      <c r="R60">
        <v>4.7619047620000003</v>
      </c>
      <c r="S60">
        <v>15.148</v>
      </c>
      <c r="T60">
        <v>7.6</v>
      </c>
    </row>
    <row r="61" spans="1:20" x14ac:dyDescent="0.3">
      <c r="A61">
        <v>877</v>
      </c>
      <c r="C61">
        <v>22</v>
      </c>
      <c r="D61">
        <v>3308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>
        <v>15.87</v>
      </c>
      <c r="K61">
        <v>10</v>
      </c>
      <c r="L61">
        <v>7.9349999999999996</v>
      </c>
      <c r="M61">
        <v>166.63499999999999</v>
      </c>
      <c r="N61" s="1">
        <v>43537</v>
      </c>
      <c r="O61" s="2">
        <v>0.69444444444444442</v>
      </c>
      <c r="P61" t="s">
        <v>30</v>
      </c>
      <c r="Q61">
        <v>158.69999999999999</v>
      </c>
      <c r="R61">
        <v>4.7619047620000003</v>
      </c>
      <c r="S61">
        <v>7.9349999999999996</v>
      </c>
      <c r="T61">
        <v>5.8</v>
      </c>
    </row>
    <row r="62" spans="1:20" x14ac:dyDescent="0.3">
      <c r="A62">
        <v>838</v>
      </c>
      <c r="C62">
        <v>78</v>
      </c>
      <c r="D62">
        <v>4295</v>
      </c>
      <c r="E62" t="s">
        <v>26</v>
      </c>
      <c r="F62" t="s">
        <v>27</v>
      </c>
      <c r="G62" t="s">
        <v>22</v>
      </c>
      <c r="H62" t="s">
        <v>23</v>
      </c>
      <c r="I62" t="s">
        <v>24</v>
      </c>
      <c r="J62">
        <v>33.47</v>
      </c>
      <c r="K62">
        <v>2</v>
      </c>
      <c r="L62">
        <v>3.347</v>
      </c>
      <c r="M62">
        <v>70.287000000000006</v>
      </c>
      <c r="N62" s="1">
        <v>43506</v>
      </c>
      <c r="O62" s="2">
        <v>0.65486111111111112</v>
      </c>
      <c r="P62" t="s">
        <v>25</v>
      </c>
      <c r="Q62">
        <v>66.94</v>
      </c>
      <c r="R62">
        <v>4.7619047620000003</v>
      </c>
      <c r="S62">
        <v>3.347</v>
      </c>
      <c r="T62">
        <v>6.7</v>
      </c>
    </row>
    <row r="63" spans="1:20" x14ac:dyDescent="0.3">
      <c r="A63">
        <v>109</v>
      </c>
      <c r="C63">
        <v>28</v>
      </c>
      <c r="D63">
        <v>2512</v>
      </c>
      <c r="E63" t="s">
        <v>34</v>
      </c>
      <c r="F63" t="s">
        <v>35</v>
      </c>
      <c r="G63" t="s">
        <v>22</v>
      </c>
      <c r="H63" t="s">
        <v>23</v>
      </c>
      <c r="I63" t="s">
        <v>37</v>
      </c>
      <c r="J63">
        <v>97.61</v>
      </c>
      <c r="K63">
        <v>6</v>
      </c>
      <c r="L63">
        <v>29.283000000000001</v>
      </c>
      <c r="M63">
        <v>614.94299999999998</v>
      </c>
      <c r="N63" s="1">
        <v>43472</v>
      </c>
      <c r="O63" s="2">
        <v>0.62569444444444444</v>
      </c>
      <c r="P63" t="s">
        <v>25</v>
      </c>
      <c r="Q63">
        <v>585.66</v>
      </c>
      <c r="R63">
        <v>4.7619047620000003</v>
      </c>
      <c r="S63">
        <v>29.283000000000001</v>
      </c>
      <c r="T63">
        <v>9.9</v>
      </c>
    </row>
    <row r="64" spans="1:20" x14ac:dyDescent="0.3">
      <c r="A64">
        <v>232</v>
      </c>
      <c r="C64">
        <v>11</v>
      </c>
      <c r="D64">
        <v>3025</v>
      </c>
      <c r="E64" t="s">
        <v>20</v>
      </c>
      <c r="F64" t="s">
        <v>21</v>
      </c>
      <c r="G64" t="s">
        <v>22</v>
      </c>
      <c r="H64" t="s">
        <v>23</v>
      </c>
      <c r="I64" t="s">
        <v>33</v>
      </c>
      <c r="J64">
        <v>78.77</v>
      </c>
      <c r="K64">
        <v>10</v>
      </c>
      <c r="L64">
        <v>39.384999999999998</v>
      </c>
      <c r="M64">
        <v>827.08500000000004</v>
      </c>
      <c r="N64" s="1">
        <v>43489</v>
      </c>
      <c r="O64" s="2">
        <v>0.41944444444444445</v>
      </c>
      <c r="P64" t="s">
        <v>30</v>
      </c>
      <c r="Q64">
        <v>787.7</v>
      </c>
      <c r="R64">
        <v>4.7619047620000003</v>
      </c>
      <c r="S64">
        <v>39.384999999999998</v>
      </c>
      <c r="T64">
        <v>6.4</v>
      </c>
    </row>
    <row r="65" spans="1:20" x14ac:dyDescent="0.3">
      <c r="A65">
        <v>382</v>
      </c>
      <c r="C65">
        <v>3</v>
      </c>
      <c r="D65">
        <v>4532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>
        <v>18.329999999999998</v>
      </c>
      <c r="K65">
        <v>1</v>
      </c>
      <c r="L65">
        <v>0.91649999999999998</v>
      </c>
      <c r="M65">
        <v>19.246500000000001</v>
      </c>
      <c r="N65" s="1">
        <v>43498</v>
      </c>
      <c r="O65" s="2">
        <v>0.78472222222222221</v>
      </c>
      <c r="P65" t="s">
        <v>30</v>
      </c>
      <c r="Q65">
        <v>18.329999999999998</v>
      </c>
      <c r="R65">
        <v>4.7619047620000003</v>
      </c>
      <c r="S65">
        <v>0.91649999999999998</v>
      </c>
      <c r="T65">
        <v>4.3</v>
      </c>
    </row>
    <row r="66" spans="1:20" x14ac:dyDescent="0.3">
      <c r="A66">
        <v>393</v>
      </c>
      <c r="C66">
        <v>65</v>
      </c>
      <c r="D66">
        <v>2792</v>
      </c>
      <c r="E66" t="s">
        <v>26</v>
      </c>
      <c r="F66" t="s">
        <v>27</v>
      </c>
      <c r="G66" t="s">
        <v>22</v>
      </c>
      <c r="H66" t="s">
        <v>23</v>
      </c>
      <c r="I66" t="s">
        <v>36</v>
      </c>
      <c r="J66">
        <v>89.48</v>
      </c>
      <c r="K66">
        <v>10</v>
      </c>
      <c r="L66">
        <v>44.74</v>
      </c>
      <c r="M66">
        <v>939.54</v>
      </c>
      <c r="N66" s="1">
        <v>43471</v>
      </c>
      <c r="O66" s="2">
        <v>0.53194444444444444</v>
      </c>
      <c r="P66" t="s">
        <v>32</v>
      </c>
      <c r="Q66">
        <v>894.8</v>
      </c>
      <c r="R66">
        <v>4.7619047620000003</v>
      </c>
      <c r="S66">
        <v>44.74</v>
      </c>
      <c r="T66">
        <v>9.6</v>
      </c>
    </row>
    <row r="67" spans="1:20" x14ac:dyDescent="0.3">
      <c r="A67">
        <v>796</v>
      </c>
      <c r="C67">
        <v>12</v>
      </c>
      <c r="D67">
        <v>2025</v>
      </c>
      <c r="E67" t="s">
        <v>26</v>
      </c>
      <c r="F67" t="s">
        <v>27</v>
      </c>
      <c r="G67" t="s">
        <v>22</v>
      </c>
      <c r="H67" t="s">
        <v>23</v>
      </c>
      <c r="I67" t="s">
        <v>37</v>
      </c>
      <c r="J67">
        <v>62.12</v>
      </c>
      <c r="K67">
        <v>10</v>
      </c>
      <c r="L67">
        <v>31.06</v>
      </c>
      <c r="M67">
        <v>652.26</v>
      </c>
      <c r="N67" s="1">
        <v>43507</v>
      </c>
      <c r="O67" s="2">
        <v>0.67986111111111114</v>
      </c>
      <c r="P67" t="s">
        <v>30</v>
      </c>
      <c r="Q67">
        <v>621.20000000000005</v>
      </c>
      <c r="R67">
        <v>4.7619047620000003</v>
      </c>
      <c r="S67">
        <v>31.06</v>
      </c>
      <c r="T67">
        <v>5.9</v>
      </c>
    </row>
    <row r="68" spans="1:20" x14ac:dyDescent="0.3">
      <c r="A68">
        <v>510</v>
      </c>
      <c r="C68">
        <v>95</v>
      </c>
      <c r="D68">
        <v>6347</v>
      </c>
      <c r="E68" t="s">
        <v>34</v>
      </c>
      <c r="F68" t="s">
        <v>35</v>
      </c>
      <c r="G68" t="s">
        <v>22</v>
      </c>
      <c r="H68" t="s">
        <v>23</v>
      </c>
      <c r="I68" t="s">
        <v>36</v>
      </c>
      <c r="J68">
        <v>48.52</v>
      </c>
      <c r="K68">
        <v>3</v>
      </c>
      <c r="L68">
        <v>7.2779999999999996</v>
      </c>
      <c r="M68">
        <v>152.83799999999999</v>
      </c>
      <c r="N68" s="1">
        <v>43529</v>
      </c>
      <c r="O68" s="2">
        <v>0.76180555555555551</v>
      </c>
      <c r="P68" t="s">
        <v>25</v>
      </c>
      <c r="Q68">
        <v>145.56</v>
      </c>
      <c r="R68">
        <v>4.7619047620000003</v>
      </c>
      <c r="S68">
        <v>7.2779999999999996</v>
      </c>
      <c r="T68">
        <v>4</v>
      </c>
    </row>
    <row r="69" spans="1:20" x14ac:dyDescent="0.3">
      <c r="A69">
        <v>841</v>
      </c>
      <c r="C69">
        <v>35</v>
      </c>
      <c r="D69">
        <v>6630</v>
      </c>
      <c r="E69" t="s">
        <v>26</v>
      </c>
      <c r="F69" t="s">
        <v>27</v>
      </c>
      <c r="G69" t="s">
        <v>22</v>
      </c>
      <c r="H69" t="s">
        <v>23</v>
      </c>
      <c r="I69" t="s">
        <v>29</v>
      </c>
      <c r="J69">
        <v>75.91</v>
      </c>
      <c r="K69">
        <v>6</v>
      </c>
      <c r="L69">
        <v>22.773</v>
      </c>
      <c r="M69">
        <v>478.233</v>
      </c>
      <c r="N69" s="1">
        <v>43533</v>
      </c>
      <c r="O69" s="2">
        <v>0.76458333333333328</v>
      </c>
      <c r="P69" t="s">
        <v>30</v>
      </c>
      <c r="Q69">
        <v>455.46</v>
      </c>
      <c r="R69">
        <v>4.7619047620000003</v>
      </c>
      <c r="S69">
        <v>22.773</v>
      </c>
      <c r="T69">
        <v>8.6999999999999993</v>
      </c>
    </row>
    <row r="70" spans="1:20" x14ac:dyDescent="0.3">
      <c r="A70">
        <v>287</v>
      </c>
      <c r="C70">
        <v>21</v>
      </c>
      <c r="D70">
        <v>9091</v>
      </c>
      <c r="E70" t="s">
        <v>20</v>
      </c>
      <c r="F70" t="s">
        <v>21</v>
      </c>
      <c r="G70" t="s">
        <v>22</v>
      </c>
      <c r="H70" t="s">
        <v>23</v>
      </c>
      <c r="I70" t="s">
        <v>31</v>
      </c>
      <c r="J70">
        <v>74.67</v>
      </c>
      <c r="K70">
        <v>9</v>
      </c>
      <c r="L70">
        <v>33.601500000000001</v>
      </c>
      <c r="M70">
        <v>705.63149999999996</v>
      </c>
      <c r="N70" s="1">
        <v>43487</v>
      </c>
      <c r="O70" s="2">
        <v>0.4548611111111111</v>
      </c>
      <c r="P70" t="s">
        <v>25</v>
      </c>
      <c r="Q70">
        <v>672.03</v>
      </c>
      <c r="R70">
        <v>4.7619047620000003</v>
      </c>
      <c r="S70">
        <v>33.601500000000001</v>
      </c>
      <c r="T70">
        <v>9.4</v>
      </c>
    </row>
    <row r="71" spans="1:20" x14ac:dyDescent="0.3">
      <c r="A71">
        <v>732</v>
      </c>
      <c r="C71">
        <v>94</v>
      </c>
      <c r="D71">
        <v>499</v>
      </c>
      <c r="E71" t="s">
        <v>26</v>
      </c>
      <c r="F71" t="s">
        <v>27</v>
      </c>
      <c r="G71" t="s">
        <v>22</v>
      </c>
      <c r="H71" t="s">
        <v>23</v>
      </c>
      <c r="I71" t="s">
        <v>29</v>
      </c>
      <c r="J71">
        <v>41.65</v>
      </c>
      <c r="K71">
        <v>10</v>
      </c>
      <c r="L71">
        <v>20.824999999999999</v>
      </c>
      <c r="M71">
        <v>437.32499999999999</v>
      </c>
      <c r="N71" s="1">
        <v>43478</v>
      </c>
      <c r="O71" s="2">
        <v>0.71111111111111114</v>
      </c>
      <c r="P71" t="s">
        <v>32</v>
      </c>
      <c r="Q71">
        <v>416.5</v>
      </c>
      <c r="R71">
        <v>4.7619047620000003</v>
      </c>
      <c r="S71">
        <v>20.824999999999999</v>
      </c>
      <c r="T71">
        <v>5.4</v>
      </c>
    </row>
    <row r="72" spans="1:20" x14ac:dyDescent="0.3">
      <c r="A72">
        <v>263</v>
      </c>
      <c r="C72">
        <v>10</v>
      </c>
      <c r="D72">
        <v>3913</v>
      </c>
      <c r="E72" t="s">
        <v>26</v>
      </c>
      <c r="F72" t="s">
        <v>27</v>
      </c>
      <c r="G72" t="s">
        <v>22</v>
      </c>
      <c r="H72" t="s">
        <v>23</v>
      </c>
      <c r="I72" t="s">
        <v>37</v>
      </c>
      <c r="J72">
        <v>49.04</v>
      </c>
      <c r="K72">
        <v>9</v>
      </c>
      <c r="L72">
        <v>22.068000000000001</v>
      </c>
      <c r="M72">
        <v>463.428</v>
      </c>
      <c r="N72" s="1">
        <v>43474</v>
      </c>
      <c r="O72" s="2">
        <v>0.59722222222222221</v>
      </c>
      <c r="P72" t="s">
        <v>32</v>
      </c>
      <c r="Q72">
        <v>441.36</v>
      </c>
      <c r="R72">
        <v>4.7619047620000003</v>
      </c>
      <c r="S72">
        <v>22.068000000000001</v>
      </c>
      <c r="T72">
        <v>8.6</v>
      </c>
    </row>
    <row r="73" spans="1:20" x14ac:dyDescent="0.3">
      <c r="A73">
        <v>381</v>
      </c>
      <c r="C73">
        <v>20</v>
      </c>
      <c r="D73">
        <v>914</v>
      </c>
      <c r="E73" t="s">
        <v>20</v>
      </c>
      <c r="F73" t="s">
        <v>21</v>
      </c>
      <c r="G73" t="s">
        <v>22</v>
      </c>
      <c r="H73" t="s">
        <v>23</v>
      </c>
      <c r="I73" t="s">
        <v>37</v>
      </c>
      <c r="J73">
        <v>20.010000000000002</v>
      </c>
      <c r="K73">
        <v>9</v>
      </c>
      <c r="L73">
        <v>9.0045000000000002</v>
      </c>
      <c r="M73">
        <v>189.09450000000001</v>
      </c>
      <c r="N73" s="1">
        <v>43477</v>
      </c>
      <c r="O73" s="2">
        <v>0.65833333333333333</v>
      </c>
      <c r="P73" t="s">
        <v>32</v>
      </c>
      <c r="Q73">
        <v>180.09</v>
      </c>
      <c r="R73">
        <v>4.7619047620000003</v>
      </c>
      <c r="S73">
        <v>9.0045000000000002</v>
      </c>
      <c r="T73">
        <v>5.7</v>
      </c>
    </row>
    <row r="74" spans="1:20" x14ac:dyDescent="0.3">
      <c r="A74">
        <v>829</v>
      </c>
      <c r="C74">
        <v>49</v>
      </c>
      <c r="D74">
        <v>1914</v>
      </c>
      <c r="E74" t="s">
        <v>26</v>
      </c>
      <c r="F74" t="s">
        <v>27</v>
      </c>
      <c r="G74" t="s">
        <v>22</v>
      </c>
      <c r="H74" t="s">
        <v>23</v>
      </c>
      <c r="I74" t="s">
        <v>36</v>
      </c>
      <c r="J74">
        <v>78.31</v>
      </c>
      <c r="K74">
        <v>10</v>
      </c>
      <c r="L74">
        <v>39.155000000000001</v>
      </c>
      <c r="M74">
        <v>822.255</v>
      </c>
      <c r="N74" s="1">
        <v>43529</v>
      </c>
      <c r="O74" s="2">
        <v>0.68333333333333335</v>
      </c>
      <c r="P74" t="s">
        <v>25</v>
      </c>
      <c r="Q74">
        <v>783.1</v>
      </c>
      <c r="R74">
        <v>4.7619047620000003</v>
      </c>
      <c r="S74">
        <v>39.155000000000001</v>
      </c>
      <c r="T74">
        <v>6.6</v>
      </c>
    </row>
    <row r="75" spans="1:20" x14ac:dyDescent="0.3">
      <c r="A75">
        <v>756</v>
      </c>
      <c r="C75">
        <v>1</v>
      </c>
      <c r="D75">
        <v>7507</v>
      </c>
      <c r="E75" t="s">
        <v>26</v>
      </c>
      <c r="F75" t="s">
        <v>27</v>
      </c>
      <c r="G75" t="s">
        <v>22</v>
      </c>
      <c r="H75" t="s">
        <v>23</v>
      </c>
      <c r="I75" t="s">
        <v>24</v>
      </c>
      <c r="J75">
        <v>20.38</v>
      </c>
      <c r="K75">
        <v>5</v>
      </c>
      <c r="L75">
        <v>5.0949999999999998</v>
      </c>
      <c r="M75">
        <v>106.995</v>
      </c>
      <c r="N75" s="1">
        <v>43487</v>
      </c>
      <c r="O75" s="2">
        <v>0.78888888888888886</v>
      </c>
      <c r="P75" t="s">
        <v>30</v>
      </c>
      <c r="Q75">
        <v>101.9</v>
      </c>
      <c r="R75">
        <v>4.7619047620000003</v>
      </c>
      <c r="S75">
        <v>5.0949999999999998</v>
      </c>
      <c r="T75">
        <v>6</v>
      </c>
    </row>
    <row r="76" spans="1:20" x14ac:dyDescent="0.3">
      <c r="A76">
        <v>870</v>
      </c>
      <c r="C76">
        <v>72</v>
      </c>
      <c r="D76">
        <v>4431</v>
      </c>
      <c r="E76" t="s">
        <v>26</v>
      </c>
      <c r="F76" t="s">
        <v>27</v>
      </c>
      <c r="G76" t="s">
        <v>22</v>
      </c>
      <c r="H76" t="s">
        <v>23</v>
      </c>
      <c r="I76" t="s">
        <v>24</v>
      </c>
      <c r="J76">
        <v>99.19</v>
      </c>
      <c r="K76">
        <v>6</v>
      </c>
      <c r="L76">
        <v>29.757000000000001</v>
      </c>
      <c r="M76">
        <v>624.89700000000005</v>
      </c>
      <c r="N76" s="1">
        <v>43486</v>
      </c>
      <c r="O76" s="2">
        <v>0.61250000000000004</v>
      </c>
      <c r="P76" t="s">
        <v>32</v>
      </c>
      <c r="Q76">
        <v>595.14</v>
      </c>
      <c r="R76">
        <v>4.7619047620000003</v>
      </c>
      <c r="S76">
        <v>29.757000000000001</v>
      </c>
      <c r="T76">
        <v>5.5</v>
      </c>
    </row>
    <row r="77" spans="1:20" x14ac:dyDescent="0.3">
      <c r="A77">
        <v>847</v>
      </c>
      <c r="C77">
        <v>38</v>
      </c>
      <c r="D77">
        <v>7188</v>
      </c>
      <c r="E77" t="s">
        <v>34</v>
      </c>
      <c r="F77" t="s">
        <v>35</v>
      </c>
      <c r="G77" t="s">
        <v>22</v>
      </c>
      <c r="H77" t="s">
        <v>23</v>
      </c>
      <c r="I77" t="s">
        <v>36</v>
      </c>
      <c r="J77">
        <v>96.68</v>
      </c>
      <c r="K77">
        <v>3</v>
      </c>
      <c r="L77">
        <v>14.502000000000001</v>
      </c>
      <c r="M77">
        <v>304.54199999999997</v>
      </c>
      <c r="N77" s="1">
        <v>43491</v>
      </c>
      <c r="O77" s="2">
        <v>0.8305555555555556</v>
      </c>
      <c r="P77" t="s">
        <v>25</v>
      </c>
      <c r="Q77">
        <v>290.04000000000002</v>
      </c>
      <c r="R77">
        <v>4.7619047620000003</v>
      </c>
      <c r="S77">
        <v>14.502000000000001</v>
      </c>
      <c r="T77">
        <v>6.4</v>
      </c>
    </row>
    <row r="78" spans="1:20" x14ac:dyDescent="0.3">
      <c r="A78">
        <v>480</v>
      </c>
      <c r="C78">
        <v>63</v>
      </c>
      <c r="D78">
        <v>2856</v>
      </c>
      <c r="E78" t="s">
        <v>26</v>
      </c>
      <c r="F78" t="s">
        <v>27</v>
      </c>
      <c r="G78" t="s">
        <v>22</v>
      </c>
      <c r="H78" t="s">
        <v>23</v>
      </c>
      <c r="I78" t="s">
        <v>36</v>
      </c>
      <c r="J78">
        <v>19.25</v>
      </c>
      <c r="K78">
        <v>8</v>
      </c>
      <c r="L78">
        <v>7.7</v>
      </c>
      <c r="M78">
        <v>161.69999999999999</v>
      </c>
      <c r="N78" s="1">
        <v>43488</v>
      </c>
      <c r="O78" s="2">
        <v>0.77569444444444446</v>
      </c>
      <c r="P78" t="s">
        <v>25</v>
      </c>
      <c r="Q78">
        <v>154</v>
      </c>
      <c r="R78">
        <v>4.7619047620000003</v>
      </c>
      <c r="S78">
        <v>7.7</v>
      </c>
      <c r="T78">
        <v>6.6</v>
      </c>
    </row>
    <row r="79" spans="1:20" x14ac:dyDescent="0.3">
      <c r="A79">
        <v>787</v>
      </c>
      <c r="C79">
        <v>56</v>
      </c>
      <c r="D79">
        <v>757</v>
      </c>
      <c r="E79" t="s">
        <v>26</v>
      </c>
      <c r="F79" t="s">
        <v>27</v>
      </c>
      <c r="G79" t="s">
        <v>22</v>
      </c>
      <c r="H79" t="s">
        <v>23</v>
      </c>
      <c r="I79" t="s">
        <v>36</v>
      </c>
      <c r="J79">
        <v>80.36</v>
      </c>
      <c r="K79">
        <v>4</v>
      </c>
      <c r="L79">
        <v>16.071999999999999</v>
      </c>
      <c r="M79">
        <v>337.512</v>
      </c>
      <c r="N79" s="1">
        <v>43519</v>
      </c>
      <c r="O79" s="2">
        <v>0.78125</v>
      </c>
      <c r="P79" t="s">
        <v>32</v>
      </c>
      <c r="Q79">
        <v>321.44</v>
      </c>
      <c r="R79">
        <v>4.7619047620000003</v>
      </c>
      <c r="S79">
        <v>16.071999999999999</v>
      </c>
      <c r="T79">
        <v>8.3000000000000007</v>
      </c>
    </row>
    <row r="80" spans="1:20" x14ac:dyDescent="0.3">
      <c r="A80">
        <v>360</v>
      </c>
      <c r="C80">
        <v>39</v>
      </c>
      <c r="D80">
        <v>5055</v>
      </c>
      <c r="E80" t="s">
        <v>26</v>
      </c>
      <c r="F80" t="s">
        <v>27</v>
      </c>
      <c r="G80" t="s">
        <v>22</v>
      </c>
      <c r="H80" t="s">
        <v>23</v>
      </c>
      <c r="I80" t="s">
        <v>33</v>
      </c>
      <c r="J80">
        <v>48.91</v>
      </c>
      <c r="K80">
        <v>5</v>
      </c>
      <c r="L80">
        <v>12.227499999999999</v>
      </c>
      <c r="M80">
        <v>256.77749999999997</v>
      </c>
      <c r="N80" s="1">
        <v>43533</v>
      </c>
      <c r="O80" s="2">
        <v>0.4284722222222222</v>
      </c>
      <c r="P80" t="s">
        <v>30</v>
      </c>
      <c r="Q80">
        <v>244.55</v>
      </c>
      <c r="R80">
        <v>4.7619047620000003</v>
      </c>
      <c r="S80">
        <v>12.227499999999999</v>
      </c>
      <c r="T80">
        <v>6.6</v>
      </c>
    </row>
    <row r="81" spans="1:20" x14ac:dyDescent="0.3">
      <c r="A81">
        <v>730</v>
      </c>
      <c r="C81">
        <v>50</v>
      </c>
      <c r="D81">
        <v>9884</v>
      </c>
      <c r="E81" t="s">
        <v>26</v>
      </c>
      <c r="F81" t="s">
        <v>27</v>
      </c>
      <c r="G81" t="s">
        <v>22</v>
      </c>
      <c r="H81" t="s">
        <v>23</v>
      </c>
      <c r="I81" t="s">
        <v>33</v>
      </c>
      <c r="J81">
        <v>83.06</v>
      </c>
      <c r="K81">
        <v>7</v>
      </c>
      <c r="L81">
        <v>29.071000000000002</v>
      </c>
      <c r="M81">
        <v>610.49099999999999</v>
      </c>
      <c r="N81" s="1">
        <v>43529</v>
      </c>
      <c r="O81" s="2">
        <v>0.60486111111111107</v>
      </c>
      <c r="P81" t="s">
        <v>25</v>
      </c>
      <c r="Q81">
        <v>581.41999999999996</v>
      </c>
      <c r="R81">
        <v>4.7619047620000003</v>
      </c>
      <c r="S81">
        <v>29.071000000000002</v>
      </c>
      <c r="T81">
        <v>4</v>
      </c>
    </row>
    <row r="82" spans="1:20" x14ac:dyDescent="0.3">
      <c r="A82">
        <v>362</v>
      </c>
      <c r="C82">
        <v>58</v>
      </c>
      <c r="D82">
        <v>8315</v>
      </c>
      <c r="E82" t="s">
        <v>26</v>
      </c>
      <c r="F82" t="s">
        <v>27</v>
      </c>
      <c r="G82" t="s">
        <v>22</v>
      </c>
      <c r="H82" t="s">
        <v>23</v>
      </c>
      <c r="I82" t="s">
        <v>37</v>
      </c>
      <c r="J82">
        <v>76.52</v>
      </c>
      <c r="K82">
        <v>5</v>
      </c>
      <c r="L82">
        <v>19.13</v>
      </c>
      <c r="M82">
        <v>401.73</v>
      </c>
      <c r="N82" s="1">
        <v>43549</v>
      </c>
      <c r="O82" s="2">
        <v>0.43263888888888891</v>
      </c>
      <c r="P82" t="s">
        <v>30</v>
      </c>
      <c r="Q82">
        <v>382.6</v>
      </c>
      <c r="R82">
        <v>4.7619047620000003</v>
      </c>
      <c r="S82">
        <v>19.13</v>
      </c>
      <c r="T82">
        <v>9.9</v>
      </c>
    </row>
    <row r="83" spans="1:20" x14ac:dyDescent="0.3">
      <c r="A83">
        <v>633</v>
      </c>
      <c r="C83">
        <v>44</v>
      </c>
      <c r="D83">
        <v>8566</v>
      </c>
      <c r="E83" t="s">
        <v>20</v>
      </c>
      <c r="F83" t="s">
        <v>21</v>
      </c>
      <c r="G83" t="s">
        <v>22</v>
      </c>
      <c r="H83" t="s">
        <v>23</v>
      </c>
      <c r="I83" t="s">
        <v>36</v>
      </c>
      <c r="J83">
        <v>49.38</v>
      </c>
      <c r="K83">
        <v>7</v>
      </c>
      <c r="L83">
        <v>17.283000000000001</v>
      </c>
      <c r="M83">
        <v>362.94299999999998</v>
      </c>
      <c r="N83" s="1">
        <v>43551</v>
      </c>
      <c r="O83" s="2">
        <v>0.85763888888888884</v>
      </c>
      <c r="P83" t="s">
        <v>32</v>
      </c>
      <c r="Q83">
        <v>345.66</v>
      </c>
      <c r="R83">
        <v>4.7619047620000003</v>
      </c>
      <c r="S83">
        <v>17.283000000000001</v>
      </c>
      <c r="T83">
        <v>7.3</v>
      </c>
    </row>
    <row r="84" spans="1:20" x14ac:dyDescent="0.3">
      <c r="A84">
        <v>504</v>
      </c>
      <c r="C84">
        <v>35</v>
      </c>
      <c r="D84">
        <v>8843</v>
      </c>
      <c r="E84" t="s">
        <v>20</v>
      </c>
      <c r="F84" t="s">
        <v>21</v>
      </c>
      <c r="G84" t="s">
        <v>22</v>
      </c>
      <c r="H84" t="s">
        <v>23</v>
      </c>
      <c r="I84" t="s">
        <v>33</v>
      </c>
      <c r="J84">
        <v>42.47</v>
      </c>
      <c r="K84">
        <v>1</v>
      </c>
      <c r="L84">
        <v>2.1234999999999999</v>
      </c>
      <c r="M84">
        <v>44.593499999999999</v>
      </c>
      <c r="N84" s="1">
        <v>43467</v>
      </c>
      <c r="O84" s="2">
        <v>0.70625000000000004</v>
      </c>
      <c r="P84" t="s">
        <v>30</v>
      </c>
      <c r="Q84">
        <v>42.47</v>
      </c>
      <c r="R84">
        <v>4.7619047620000003</v>
      </c>
      <c r="S84">
        <v>2.1234999999999999</v>
      </c>
      <c r="T84">
        <v>5.7</v>
      </c>
    </row>
    <row r="85" spans="1:20" x14ac:dyDescent="0.3">
      <c r="A85">
        <v>318</v>
      </c>
      <c r="C85">
        <v>68</v>
      </c>
      <c r="D85">
        <v>5053</v>
      </c>
      <c r="E85" t="s">
        <v>34</v>
      </c>
      <c r="F85" t="s">
        <v>35</v>
      </c>
      <c r="G85" t="s">
        <v>22</v>
      </c>
      <c r="H85" t="s">
        <v>23</v>
      </c>
      <c r="I85" t="s">
        <v>24</v>
      </c>
      <c r="J85">
        <v>76.989999999999995</v>
      </c>
      <c r="K85">
        <v>6</v>
      </c>
      <c r="L85">
        <v>23.097000000000001</v>
      </c>
      <c r="M85">
        <v>485.03699999999998</v>
      </c>
      <c r="N85" s="1">
        <v>43523</v>
      </c>
      <c r="O85" s="2">
        <v>0.74652777777777779</v>
      </c>
      <c r="P85" t="s">
        <v>30</v>
      </c>
      <c r="Q85">
        <v>461.94</v>
      </c>
      <c r="R85">
        <v>4.7619047620000003</v>
      </c>
      <c r="S85">
        <v>23.097000000000001</v>
      </c>
      <c r="T85">
        <v>6.1</v>
      </c>
    </row>
    <row r="86" spans="1:20" x14ac:dyDescent="0.3">
      <c r="A86">
        <v>565</v>
      </c>
      <c r="C86">
        <v>80</v>
      </c>
      <c r="D86">
        <v>5980</v>
      </c>
      <c r="E86" t="s">
        <v>26</v>
      </c>
      <c r="F86" t="s">
        <v>27</v>
      </c>
      <c r="G86" t="s">
        <v>22</v>
      </c>
      <c r="H86" t="s">
        <v>23</v>
      </c>
      <c r="I86" t="s">
        <v>31</v>
      </c>
      <c r="J86">
        <v>47.38</v>
      </c>
      <c r="K86">
        <v>4</v>
      </c>
      <c r="L86">
        <v>9.4760000000000009</v>
      </c>
      <c r="M86">
        <v>198.99600000000001</v>
      </c>
      <c r="N86" s="1">
        <v>43488</v>
      </c>
      <c r="O86" s="2">
        <v>0.43402777777777779</v>
      </c>
      <c r="P86" t="s">
        <v>30</v>
      </c>
      <c r="Q86">
        <v>189.52</v>
      </c>
      <c r="R86">
        <v>4.7619047620000003</v>
      </c>
      <c r="S86">
        <v>9.4760000000000009</v>
      </c>
      <c r="T86">
        <v>7.1</v>
      </c>
    </row>
    <row r="87" spans="1:20" x14ac:dyDescent="0.3">
      <c r="A87">
        <v>225</v>
      </c>
      <c r="C87">
        <v>32</v>
      </c>
      <c r="D87">
        <v>908</v>
      </c>
      <c r="E87" t="s">
        <v>26</v>
      </c>
      <c r="F87" t="s">
        <v>27</v>
      </c>
      <c r="G87" t="s">
        <v>22</v>
      </c>
      <c r="H87" t="s">
        <v>23</v>
      </c>
      <c r="I87" t="s">
        <v>33</v>
      </c>
      <c r="J87">
        <v>44.86</v>
      </c>
      <c r="K87">
        <v>10</v>
      </c>
      <c r="L87">
        <v>22.43</v>
      </c>
      <c r="M87">
        <v>471.03</v>
      </c>
      <c r="N87" s="1">
        <v>43491</v>
      </c>
      <c r="O87" s="2">
        <v>0.82916666666666672</v>
      </c>
      <c r="P87" t="s">
        <v>25</v>
      </c>
      <c r="Q87">
        <v>448.6</v>
      </c>
      <c r="R87">
        <v>4.7619047620000003</v>
      </c>
      <c r="S87">
        <v>22.43</v>
      </c>
      <c r="T87">
        <v>8.1999999999999993</v>
      </c>
    </row>
    <row r="88" spans="1:20" x14ac:dyDescent="0.3">
      <c r="A88">
        <v>873</v>
      </c>
      <c r="C88">
        <v>51</v>
      </c>
      <c r="D88">
        <v>671</v>
      </c>
      <c r="E88" t="s">
        <v>20</v>
      </c>
      <c r="F88" t="s">
        <v>21</v>
      </c>
      <c r="G88" t="s">
        <v>22</v>
      </c>
      <c r="H88" t="s">
        <v>23</v>
      </c>
      <c r="I88" t="s">
        <v>33</v>
      </c>
      <c r="J88">
        <v>21.98</v>
      </c>
      <c r="K88">
        <v>7</v>
      </c>
      <c r="L88">
        <v>7.6929999999999996</v>
      </c>
      <c r="M88">
        <v>161.553</v>
      </c>
      <c r="N88" s="1">
        <v>43475</v>
      </c>
      <c r="O88" s="2">
        <v>0.6958333333333333</v>
      </c>
      <c r="P88" t="s">
        <v>25</v>
      </c>
      <c r="Q88">
        <v>153.86000000000001</v>
      </c>
      <c r="R88">
        <v>4.7619047620000003</v>
      </c>
      <c r="S88">
        <v>7.6929999999999996</v>
      </c>
      <c r="T88">
        <v>5.0999999999999996</v>
      </c>
    </row>
    <row r="89" spans="1:20" x14ac:dyDescent="0.3">
      <c r="A89">
        <v>152</v>
      </c>
      <c r="C89">
        <v>8</v>
      </c>
      <c r="D89">
        <v>9985</v>
      </c>
      <c r="E89" t="s">
        <v>34</v>
      </c>
      <c r="F89" t="s">
        <v>35</v>
      </c>
      <c r="G89" t="s">
        <v>22</v>
      </c>
      <c r="H89" t="s">
        <v>23</v>
      </c>
      <c r="I89" t="s">
        <v>24</v>
      </c>
      <c r="J89">
        <v>64.36</v>
      </c>
      <c r="K89">
        <v>9</v>
      </c>
      <c r="L89">
        <v>28.962</v>
      </c>
      <c r="M89">
        <v>608.202</v>
      </c>
      <c r="N89" s="1">
        <v>43536</v>
      </c>
      <c r="O89" s="2">
        <v>0.50624999999999998</v>
      </c>
      <c r="P89" t="s">
        <v>32</v>
      </c>
      <c r="Q89">
        <v>579.24</v>
      </c>
      <c r="R89">
        <v>4.7619047620000003</v>
      </c>
      <c r="S89">
        <v>28.962</v>
      </c>
      <c r="T89">
        <v>8.6</v>
      </c>
    </row>
    <row r="90" spans="1:20" x14ac:dyDescent="0.3">
      <c r="A90">
        <v>512</v>
      </c>
      <c r="C90">
        <v>91</v>
      </c>
      <c r="D90">
        <v>811</v>
      </c>
      <c r="E90" t="s">
        <v>26</v>
      </c>
      <c r="F90" t="s">
        <v>27</v>
      </c>
      <c r="G90" t="s">
        <v>22</v>
      </c>
      <c r="H90" t="s">
        <v>23</v>
      </c>
      <c r="I90" t="s">
        <v>24</v>
      </c>
      <c r="J90">
        <v>89.75</v>
      </c>
      <c r="K90">
        <v>1</v>
      </c>
      <c r="L90">
        <v>4.4874999999999998</v>
      </c>
      <c r="M90">
        <v>94.237499999999997</v>
      </c>
      <c r="N90" s="1">
        <v>43502</v>
      </c>
      <c r="O90" s="2">
        <v>0.83680555555555558</v>
      </c>
      <c r="P90" t="s">
        <v>32</v>
      </c>
      <c r="Q90">
        <v>89.75</v>
      </c>
      <c r="R90">
        <v>4.7619047620000003</v>
      </c>
      <c r="S90">
        <v>4.4874999999999998</v>
      </c>
      <c r="T90">
        <v>6.6</v>
      </c>
    </row>
    <row r="91" spans="1:20" x14ac:dyDescent="0.3">
      <c r="A91">
        <v>594</v>
      </c>
      <c r="C91">
        <v>34</v>
      </c>
      <c r="D91">
        <v>4444</v>
      </c>
      <c r="E91" t="s">
        <v>20</v>
      </c>
      <c r="F91" t="s">
        <v>21</v>
      </c>
      <c r="G91" t="s">
        <v>22</v>
      </c>
      <c r="H91" t="s">
        <v>23</v>
      </c>
      <c r="I91" t="s">
        <v>29</v>
      </c>
      <c r="J91">
        <v>97.16</v>
      </c>
      <c r="K91">
        <v>1</v>
      </c>
      <c r="L91">
        <v>4.8579999999999997</v>
      </c>
      <c r="M91">
        <v>102.018</v>
      </c>
      <c r="N91" s="1">
        <v>43532</v>
      </c>
      <c r="O91" s="2">
        <v>0.85972222222222228</v>
      </c>
      <c r="P91" t="s">
        <v>25</v>
      </c>
      <c r="Q91">
        <v>97.16</v>
      </c>
      <c r="R91">
        <v>4.7619047620000003</v>
      </c>
      <c r="S91">
        <v>4.8579999999999997</v>
      </c>
      <c r="T91">
        <v>7.2</v>
      </c>
    </row>
    <row r="92" spans="1:20" x14ac:dyDescent="0.3">
      <c r="A92">
        <v>766</v>
      </c>
      <c r="C92">
        <v>85</v>
      </c>
      <c r="D92">
        <v>7061</v>
      </c>
      <c r="E92" t="s">
        <v>34</v>
      </c>
      <c r="F92" t="s">
        <v>35</v>
      </c>
      <c r="G92" t="s">
        <v>22</v>
      </c>
      <c r="H92" t="s">
        <v>23</v>
      </c>
      <c r="I92" t="s">
        <v>24</v>
      </c>
      <c r="J92">
        <v>87.87</v>
      </c>
      <c r="K92">
        <v>10</v>
      </c>
      <c r="L92">
        <v>43.935000000000002</v>
      </c>
      <c r="M92">
        <v>922.63499999999999</v>
      </c>
      <c r="N92" s="1">
        <v>43553</v>
      </c>
      <c r="O92" s="2">
        <v>0.43402777777777779</v>
      </c>
      <c r="P92" t="s">
        <v>25</v>
      </c>
      <c r="Q92">
        <v>878.7</v>
      </c>
      <c r="R92">
        <v>4.7619047620000003</v>
      </c>
      <c r="S92">
        <v>43.935000000000002</v>
      </c>
      <c r="T92">
        <v>5.0999999999999996</v>
      </c>
    </row>
    <row r="93" spans="1:20" x14ac:dyDescent="0.3">
      <c r="A93">
        <v>871</v>
      </c>
      <c r="C93">
        <v>39</v>
      </c>
      <c r="D93">
        <v>9221</v>
      </c>
      <c r="E93" t="s">
        <v>26</v>
      </c>
      <c r="F93" t="s">
        <v>27</v>
      </c>
      <c r="G93" t="s">
        <v>22</v>
      </c>
      <c r="H93" t="s">
        <v>23</v>
      </c>
      <c r="I93" t="s">
        <v>29</v>
      </c>
      <c r="J93">
        <v>12.45</v>
      </c>
      <c r="K93">
        <v>6</v>
      </c>
      <c r="L93">
        <v>3.7349999999999999</v>
      </c>
      <c r="M93">
        <v>78.435000000000002</v>
      </c>
      <c r="N93" s="1">
        <v>43505</v>
      </c>
      <c r="O93" s="2">
        <v>0.5493055555555556</v>
      </c>
      <c r="P93" t="s">
        <v>30</v>
      </c>
      <c r="Q93">
        <v>74.7</v>
      </c>
      <c r="R93">
        <v>4.7619047620000003</v>
      </c>
      <c r="S93">
        <v>3.7349999999999999</v>
      </c>
      <c r="T93">
        <v>4.0999999999999996</v>
      </c>
    </row>
    <row r="94" spans="1:20" x14ac:dyDescent="0.3">
      <c r="A94">
        <v>865</v>
      </c>
      <c r="C94">
        <v>92</v>
      </c>
      <c r="D94">
        <v>6136</v>
      </c>
      <c r="E94" t="s">
        <v>20</v>
      </c>
      <c r="F94" t="s">
        <v>21</v>
      </c>
      <c r="G94" t="s">
        <v>22</v>
      </c>
      <c r="H94" t="s">
        <v>23</v>
      </c>
      <c r="I94" t="s">
        <v>36</v>
      </c>
      <c r="J94">
        <v>52.75</v>
      </c>
      <c r="K94">
        <v>3</v>
      </c>
      <c r="L94">
        <v>7.9124999999999996</v>
      </c>
      <c r="M94">
        <v>166.16249999999999</v>
      </c>
      <c r="N94" s="1">
        <v>43547</v>
      </c>
      <c r="O94" s="2">
        <v>0.42777777777777776</v>
      </c>
      <c r="P94" t="s">
        <v>25</v>
      </c>
      <c r="Q94">
        <v>158.25</v>
      </c>
      <c r="R94">
        <v>4.7619047620000003</v>
      </c>
      <c r="S94">
        <v>7.9124999999999996</v>
      </c>
      <c r="T94">
        <v>9.3000000000000007</v>
      </c>
    </row>
    <row r="95" spans="1:20" x14ac:dyDescent="0.3">
      <c r="A95">
        <v>733</v>
      </c>
      <c r="C95">
        <v>1</v>
      </c>
      <c r="D95">
        <v>9107</v>
      </c>
      <c r="E95" t="s">
        <v>34</v>
      </c>
      <c r="F95" t="s">
        <v>35</v>
      </c>
      <c r="G95" t="s">
        <v>22</v>
      </c>
      <c r="H95" t="s">
        <v>23</v>
      </c>
      <c r="I95" t="s">
        <v>31</v>
      </c>
      <c r="J95">
        <v>82.7</v>
      </c>
      <c r="K95">
        <v>6</v>
      </c>
      <c r="L95">
        <v>24.81</v>
      </c>
      <c r="M95">
        <v>521.01</v>
      </c>
      <c r="N95" s="1">
        <v>43529</v>
      </c>
      <c r="O95" s="2">
        <v>0.75972222222222219</v>
      </c>
      <c r="P95" t="s">
        <v>30</v>
      </c>
      <c r="Q95">
        <v>496.2</v>
      </c>
      <c r="R95">
        <v>4.7619047620000003</v>
      </c>
      <c r="S95">
        <v>24.81</v>
      </c>
      <c r="T95">
        <v>7.4</v>
      </c>
    </row>
    <row r="96" spans="1:20" x14ac:dyDescent="0.3">
      <c r="A96">
        <v>163</v>
      </c>
      <c r="C96">
        <v>56</v>
      </c>
      <c r="D96">
        <v>7055</v>
      </c>
      <c r="E96" t="s">
        <v>26</v>
      </c>
      <c r="F96" t="s">
        <v>27</v>
      </c>
      <c r="G96" t="s">
        <v>22</v>
      </c>
      <c r="H96" t="s">
        <v>23</v>
      </c>
      <c r="I96" t="s">
        <v>37</v>
      </c>
      <c r="J96">
        <v>48.71</v>
      </c>
      <c r="K96">
        <v>1</v>
      </c>
      <c r="L96">
        <v>2.4355000000000002</v>
      </c>
      <c r="M96">
        <v>51.145499999999998</v>
      </c>
      <c r="N96" s="1">
        <v>43550</v>
      </c>
      <c r="O96" s="2">
        <v>0.80555555555555558</v>
      </c>
      <c r="P96" t="s">
        <v>30</v>
      </c>
      <c r="Q96">
        <v>48.71</v>
      </c>
      <c r="R96">
        <v>4.7619047620000003</v>
      </c>
      <c r="S96">
        <v>2.4355000000000002</v>
      </c>
      <c r="T96">
        <v>4.0999999999999996</v>
      </c>
    </row>
    <row r="97" spans="1:20" x14ac:dyDescent="0.3">
      <c r="A97">
        <v>189</v>
      </c>
      <c r="C97">
        <v>98</v>
      </c>
      <c r="D97">
        <v>2939</v>
      </c>
      <c r="E97" t="s">
        <v>26</v>
      </c>
      <c r="F97" t="s">
        <v>27</v>
      </c>
      <c r="G97" t="s">
        <v>22</v>
      </c>
      <c r="H97" t="s">
        <v>23</v>
      </c>
      <c r="I97" t="s">
        <v>37</v>
      </c>
      <c r="J97">
        <v>78.55</v>
      </c>
      <c r="K97">
        <v>9</v>
      </c>
      <c r="L97">
        <v>35.347499999999997</v>
      </c>
      <c r="M97">
        <v>742.29750000000001</v>
      </c>
      <c r="N97" s="1">
        <v>43525</v>
      </c>
      <c r="O97" s="2">
        <v>0.55694444444444446</v>
      </c>
      <c r="P97" t="s">
        <v>30</v>
      </c>
      <c r="Q97">
        <v>706.95</v>
      </c>
      <c r="R97">
        <v>4.7619047620000003</v>
      </c>
      <c r="S97">
        <v>35.347499999999997</v>
      </c>
      <c r="T97">
        <v>7.2</v>
      </c>
    </row>
    <row r="98" spans="1:20" x14ac:dyDescent="0.3">
      <c r="A98">
        <v>551</v>
      </c>
      <c r="C98">
        <v>21</v>
      </c>
      <c r="D98">
        <v>3069</v>
      </c>
      <c r="E98" t="s">
        <v>26</v>
      </c>
      <c r="F98" t="s">
        <v>27</v>
      </c>
      <c r="G98" t="s">
        <v>22</v>
      </c>
      <c r="H98" t="s">
        <v>23</v>
      </c>
      <c r="I98" t="s">
        <v>29</v>
      </c>
      <c r="J98">
        <v>23.07</v>
      </c>
      <c r="K98">
        <v>9</v>
      </c>
      <c r="L98">
        <v>10.381500000000001</v>
      </c>
      <c r="M98">
        <v>218.01150000000001</v>
      </c>
      <c r="N98" s="1">
        <v>43497</v>
      </c>
      <c r="O98" s="2">
        <v>0.47708333333333336</v>
      </c>
      <c r="P98" t="s">
        <v>30</v>
      </c>
      <c r="Q98">
        <v>207.63</v>
      </c>
      <c r="R98">
        <v>4.7619047620000003</v>
      </c>
      <c r="S98">
        <v>10.381500000000001</v>
      </c>
      <c r="T98">
        <v>4.9000000000000004</v>
      </c>
    </row>
    <row r="99" spans="1:20" x14ac:dyDescent="0.3">
      <c r="A99">
        <v>212</v>
      </c>
      <c r="C99">
        <v>62</v>
      </c>
      <c r="D99">
        <v>1842</v>
      </c>
      <c r="E99" t="s">
        <v>20</v>
      </c>
      <c r="F99" t="s">
        <v>21</v>
      </c>
      <c r="G99" t="s">
        <v>22</v>
      </c>
      <c r="H99" t="s">
        <v>23</v>
      </c>
      <c r="I99" t="s">
        <v>36</v>
      </c>
      <c r="J99">
        <v>58.26</v>
      </c>
      <c r="K99">
        <v>6</v>
      </c>
      <c r="L99">
        <v>17.478000000000002</v>
      </c>
      <c r="M99">
        <v>367.03800000000001</v>
      </c>
      <c r="N99" s="1">
        <v>43552</v>
      </c>
      <c r="O99" s="2">
        <v>0.69722222222222219</v>
      </c>
      <c r="P99" t="s">
        <v>30</v>
      </c>
      <c r="Q99">
        <v>349.56</v>
      </c>
      <c r="R99">
        <v>4.7619047620000003</v>
      </c>
      <c r="S99">
        <v>17.478000000000002</v>
      </c>
      <c r="T99">
        <v>9.9</v>
      </c>
    </row>
    <row r="100" spans="1:20" x14ac:dyDescent="0.3">
      <c r="A100">
        <v>716</v>
      </c>
      <c r="C100">
        <v>39</v>
      </c>
      <c r="D100">
        <v>1409</v>
      </c>
      <c r="E100" t="s">
        <v>34</v>
      </c>
      <c r="F100" t="s">
        <v>35</v>
      </c>
      <c r="G100" t="s">
        <v>22</v>
      </c>
      <c r="H100" t="s">
        <v>23</v>
      </c>
      <c r="I100" t="s">
        <v>24</v>
      </c>
      <c r="J100">
        <v>30.35</v>
      </c>
      <c r="K100">
        <v>7</v>
      </c>
      <c r="L100">
        <v>10.6225</v>
      </c>
      <c r="M100">
        <v>223.07249999999999</v>
      </c>
      <c r="N100" s="1">
        <v>43543</v>
      </c>
      <c r="O100" s="2">
        <v>0.7631944444444444</v>
      </c>
      <c r="P100" t="s">
        <v>30</v>
      </c>
      <c r="Q100">
        <v>212.45</v>
      </c>
      <c r="R100">
        <v>4.7619047620000003</v>
      </c>
      <c r="S100">
        <v>10.6225</v>
      </c>
      <c r="T100">
        <v>8</v>
      </c>
    </row>
    <row r="101" spans="1:20" x14ac:dyDescent="0.3">
      <c r="A101">
        <v>704</v>
      </c>
      <c r="C101">
        <v>48</v>
      </c>
      <c r="D101">
        <v>3927</v>
      </c>
      <c r="E101" t="s">
        <v>20</v>
      </c>
      <c r="F101" t="s">
        <v>21</v>
      </c>
      <c r="G101" t="s">
        <v>22</v>
      </c>
      <c r="H101" t="s">
        <v>23</v>
      </c>
      <c r="I101" t="s">
        <v>29</v>
      </c>
      <c r="J101">
        <v>88.67</v>
      </c>
      <c r="K101">
        <v>10</v>
      </c>
      <c r="L101">
        <v>44.335000000000001</v>
      </c>
      <c r="M101">
        <v>931.03499999999997</v>
      </c>
      <c r="N101" s="1">
        <v>43477</v>
      </c>
      <c r="O101" s="2">
        <v>0.61805555555555558</v>
      </c>
      <c r="P101" t="s">
        <v>25</v>
      </c>
      <c r="Q101">
        <v>886.7</v>
      </c>
      <c r="R101">
        <v>4.7619047620000003</v>
      </c>
      <c r="S101">
        <v>44.335000000000001</v>
      </c>
      <c r="T101">
        <v>7.3</v>
      </c>
    </row>
    <row r="102" spans="1:20" x14ac:dyDescent="0.3">
      <c r="A102">
        <v>628</v>
      </c>
      <c r="C102">
        <v>34</v>
      </c>
      <c r="D102">
        <v>3388</v>
      </c>
      <c r="E102" t="s">
        <v>26</v>
      </c>
      <c r="F102" t="s">
        <v>27</v>
      </c>
      <c r="G102" t="s">
        <v>22</v>
      </c>
      <c r="H102" t="s">
        <v>23</v>
      </c>
      <c r="I102" t="s">
        <v>37</v>
      </c>
      <c r="J102">
        <v>27.38</v>
      </c>
      <c r="K102">
        <v>6</v>
      </c>
      <c r="L102">
        <v>8.2140000000000004</v>
      </c>
      <c r="M102">
        <v>172.494</v>
      </c>
      <c r="N102" s="1">
        <v>43470</v>
      </c>
      <c r="O102" s="2">
        <v>0.87083333333333335</v>
      </c>
      <c r="P102" t="s">
        <v>32</v>
      </c>
      <c r="Q102">
        <v>164.28</v>
      </c>
      <c r="R102">
        <v>4.7619047620000003</v>
      </c>
      <c r="S102">
        <v>8.2140000000000004</v>
      </c>
      <c r="T102">
        <v>7.9</v>
      </c>
    </row>
    <row r="103" spans="1:20" x14ac:dyDescent="0.3">
      <c r="A103">
        <v>630</v>
      </c>
      <c r="C103">
        <v>74</v>
      </c>
      <c r="D103">
        <v>5166</v>
      </c>
      <c r="E103" t="s">
        <v>20</v>
      </c>
      <c r="F103" t="s">
        <v>21</v>
      </c>
      <c r="G103" t="s">
        <v>22</v>
      </c>
      <c r="H103" t="s">
        <v>23</v>
      </c>
      <c r="I103" t="s">
        <v>33</v>
      </c>
      <c r="J103">
        <v>62.13</v>
      </c>
      <c r="K103">
        <v>6</v>
      </c>
      <c r="L103">
        <v>18.638999999999999</v>
      </c>
      <c r="M103">
        <v>391.41899999999998</v>
      </c>
      <c r="N103" s="1">
        <v>43546</v>
      </c>
      <c r="O103" s="2">
        <v>0.84652777777777777</v>
      </c>
      <c r="P103" t="s">
        <v>30</v>
      </c>
      <c r="Q103">
        <v>372.78</v>
      </c>
      <c r="R103">
        <v>4.7619047620000003</v>
      </c>
      <c r="S103">
        <v>18.638999999999999</v>
      </c>
      <c r="T103">
        <v>7.4</v>
      </c>
    </row>
    <row r="104" spans="1:20" x14ac:dyDescent="0.3">
      <c r="A104">
        <v>588</v>
      </c>
      <c r="C104">
        <v>1</v>
      </c>
      <c r="D104">
        <v>7461</v>
      </c>
      <c r="E104" t="s">
        <v>26</v>
      </c>
      <c r="F104" t="s">
        <v>27</v>
      </c>
      <c r="G104" t="s">
        <v>22</v>
      </c>
      <c r="H104" t="s">
        <v>23</v>
      </c>
      <c r="I104" t="s">
        <v>36</v>
      </c>
      <c r="J104">
        <v>33.979999999999997</v>
      </c>
      <c r="K104">
        <v>9</v>
      </c>
      <c r="L104">
        <v>15.291</v>
      </c>
      <c r="M104">
        <v>321.11099999999999</v>
      </c>
      <c r="N104" s="1">
        <v>43548</v>
      </c>
      <c r="O104" s="2">
        <v>0.4465277777777778</v>
      </c>
      <c r="P104" t="s">
        <v>30</v>
      </c>
      <c r="Q104">
        <v>305.82</v>
      </c>
      <c r="R104">
        <v>4.7619047620000003</v>
      </c>
      <c r="S104">
        <v>15.291</v>
      </c>
      <c r="T104">
        <v>4.2</v>
      </c>
    </row>
    <row r="105" spans="1:20" x14ac:dyDescent="0.3">
      <c r="A105">
        <v>479</v>
      </c>
      <c r="C105">
        <v>26</v>
      </c>
      <c r="D105">
        <v>8945</v>
      </c>
      <c r="E105" t="s">
        <v>34</v>
      </c>
      <c r="F105" t="s">
        <v>35</v>
      </c>
      <c r="G105" t="s">
        <v>22</v>
      </c>
      <c r="H105" t="s">
        <v>23</v>
      </c>
      <c r="I105" t="s">
        <v>33</v>
      </c>
      <c r="J105">
        <v>16.489999999999998</v>
      </c>
      <c r="K105">
        <v>2</v>
      </c>
      <c r="L105">
        <v>1.649</v>
      </c>
      <c r="M105">
        <v>34.628999999999998</v>
      </c>
      <c r="N105" s="1">
        <v>43501</v>
      </c>
      <c r="O105" s="2">
        <v>0.48055555555555557</v>
      </c>
      <c r="P105" t="s">
        <v>25</v>
      </c>
      <c r="Q105">
        <v>32.979999999999997</v>
      </c>
      <c r="R105">
        <v>4.7619047620000003</v>
      </c>
      <c r="S105">
        <v>1.649</v>
      </c>
      <c r="T105">
        <v>4.5999999999999996</v>
      </c>
    </row>
    <row r="106" spans="1:20" x14ac:dyDescent="0.3">
      <c r="A106">
        <v>210</v>
      </c>
      <c r="C106">
        <v>67</v>
      </c>
      <c r="D106">
        <v>5886</v>
      </c>
      <c r="E106" t="s">
        <v>26</v>
      </c>
      <c r="F106" t="s">
        <v>27</v>
      </c>
      <c r="G106" t="s">
        <v>22</v>
      </c>
      <c r="H106" t="s">
        <v>23</v>
      </c>
      <c r="I106" t="s">
        <v>24</v>
      </c>
      <c r="J106">
        <v>98.21</v>
      </c>
      <c r="K106">
        <v>3</v>
      </c>
      <c r="L106">
        <v>14.7315</v>
      </c>
      <c r="M106">
        <v>309.36149999999998</v>
      </c>
      <c r="N106" s="1">
        <v>43501</v>
      </c>
      <c r="O106" s="2">
        <v>0.44513888888888886</v>
      </c>
      <c r="P106" t="s">
        <v>32</v>
      </c>
      <c r="Q106">
        <v>294.63</v>
      </c>
      <c r="R106">
        <v>4.7619047620000003</v>
      </c>
      <c r="S106">
        <v>14.7315</v>
      </c>
      <c r="T106">
        <v>7.8</v>
      </c>
    </row>
    <row r="107" spans="1:20" x14ac:dyDescent="0.3">
      <c r="A107">
        <v>227</v>
      </c>
      <c r="C107">
        <v>78</v>
      </c>
      <c r="D107">
        <v>1148</v>
      </c>
      <c r="E107" t="s">
        <v>34</v>
      </c>
      <c r="F107" t="s">
        <v>35</v>
      </c>
      <c r="G107" t="s">
        <v>22</v>
      </c>
      <c r="H107" t="s">
        <v>23</v>
      </c>
      <c r="I107" t="s">
        <v>37</v>
      </c>
      <c r="J107">
        <v>72.84</v>
      </c>
      <c r="K107">
        <v>7</v>
      </c>
      <c r="L107">
        <v>25.494</v>
      </c>
      <c r="M107">
        <v>535.37400000000002</v>
      </c>
      <c r="N107" s="1">
        <v>43511</v>
      </c>
      <c r="O107" s="2">
        <v>0.53055555555555556</v>
      </c>
      <c r="P107" t="s">
        <v>30</v>
      </c>
      <c r="Q107">
        <v>509.88</v>
      </c>
      <c r="R107">
        <v>4.7619047620000003</v>
      </c>
      <c r="S107">
        <v>25.494</v>
      </c>
      <c r="T107">
        <v>8.4</v>
      </c>
    </row>
    <row r="108" spans="1:20" x14ac:dyDescent="0.3">
      <c r="A108">
        <v>645</v>
      </c>
      <c r="C108">
        <v>44</v>
      </c>
      <c r="D108">
        <v>1170</v>
      </c>
      <c r="E108" t="s">
        <v>20</v>
      </c>
      <c r="F108" t="s">
        <v>21</v>
      </c>
      <c r="G108" t="s">
        <v>22</v>
      </c>
      <c r="H108" t="s">
        <v>23</v>
      </c>
      <c r="I108" t="s">
        <v>31</v>
      </c>
      <c r="J108">
        <v>58.07</v>
      </c>
      <c r="K108">
        <v>9</v>
      </c>
      <c r="L108">
        <v>26.131499999999999</v>
      </c>
      <c r="M108">
        <v>548.76149999999996</v>
      </c>
      <c r="N108" s="1">
        <v>43484</v>
      </c>
      <c r="O108" s="2">
        <v>0.83819444444444446</v>
      </c>
      <c r="P108" t="s">
        <v>25</v>
      </c>
      <c r="Q108">
        <v>522.63</v>
      </c>
      <c r="R108">
        <v>4.7619047620000003</v>
      </c>
      <c r="S108">
        <v>26.131499999999999</v>
      </c>
      <c r="T108">
        <v>4.3</v>
      </c>
    </row>
    <row r="109" spans="1:20" x14ac:dyDescent="0.3">
      <c r="A109">
        <v>237</v>
      </c>
      <c r="C109">
        <v>1</v>
      </c>
      <c r="D109">
        <v>6122</v>
      </c>
      <c r="E109" t="s">
        <v>26</v>
      </c>
      <c r="F109" t="s">
        <v>27</v>
      </c>
      <c r="G109" t="s">
        <v>22</v>
      </c>
      <c r="H109" t="s">
        <v>23</v>
      </c>
      <c r="I109" t="s">
        <v>31</v>
      </c>
      <c r="J109">
        <v>80.790000000000006</v>
      </c>
      <c r="K109">
        <v>9</v>
      </c>
      <c r="L109">
        <v>36.355499999999999</v>
      </c>
      <c r="M109">
        <v>763.46550000000002</v>
      </c>
      <c r="N109" s="1">
        <v>43497</v>
      </c>
      <c r="O109" s="2">
        <v>0.85486111111111107</v>
      </c>
      <c r="P109" t="s">
        <v>32</v>
      </c>
      <c r="Q109">
        <v>727.11</v>
      </c>
      <c r="R109">
        <v>4.7619047620000003</v>
      </c>
      <c r="S109">
        <v>36.355499999999999</v>
      </c>
      <c r="T109">
        <v>9.5</v>
      </c>
    </row>
    <row r="110" spans="1:20" x14ac:dyDescent="0.3">
      <c r="A110">
        <v>225</v>
      </c>
      <c r="C110">
        <v>98</v>
      </c>
      <c r="D110">
        <v>1496</v>
      </c>
      <c r="E110" t="s">
        <v>26</v>
      </c>
      <c r="F110" t="s">
        <v>27</v>
      </c>
      <c r="G110" t="s">
        <v>22</v>
      </c>
      <c r="H110" t="s">
        <v>23</v>
      </c>
      <c r="I110" t="s">
        <v>37</v>
      </c>
      <c r="J110">
        <v>27.02</v>
      </c>
      <c r="K110">
        <v>3</v>
      </c>
      <c r="L110">
        <v>4.0529999999999999</v>
      </c>
      <c r="M110">
        <v>85.113</v>
      </c>
      <c r="N110" s="1">
        <v>43526</v>
      </c>
      <c r="O110" s="2">
        <v>0.54236111111111107</v>
      </c>
      <c r="P110" t="s">
        <v>32</v>
      </c>
      <c r="Q110">
        <v>81.06</v>
      </c>
      <c r="R110">
        <v>4.7619047620000003</v>
      </c>
      <c r="S110">
        <v>4.0529999999999999</v>
      </c>
      <c r="T110">
        <v>7.1</v>
      </c>
    </row>
    <row r="111" spans="1:20" x14ac:dyDescent="0.3">
      <c r="A111">
        <v>291</v>
      </c>
      <c r="C111">
        <v>32</v>
      </c>
      <c r="D111">
        <v>1427</v>
      </c>
      <c r="E111" t="s">
        <v>34</v>
      </c>
      <c r="F111" t="s">
        <v>35</v>
      </c>
      <c r="G111" t="s">
        <v>22</v>
      </c>
      <c r="H111" t="s">
        <v>23</v>
      </c>
      <c r="I111" t="s">
        <v>37</v>
      </c>
      <c r="J111">
        <v>21.94</v>
      </c>
      <c r="K111">
        <v>5</v>
      </c>
      <c r="L111">
        <v>5.4850000000000003</v>
      </c>
      <c r="M111">
        <v>115.185</v>
      </c>
      <c r="N111" s="1">
        <v>43529</v>
      </c>
      <c r="O111" s="2">
        <v>0.52013888888888893</v>
      </c>
      <c r="P111" t="s">
        <v>25</v>
      </c>
      <c r="Q111">
        <v>109.7</v>
      </c>
      <c r="R111">
        <v>4.7619047620000003</v>
      </c>
      <c r="S111">
        <v>5.4850000000000003</v>
      </c>
      <c r="T111">
        <v>5.3</v>
      </c>
    </row>
    <row r="112" spans="1:20" x14ac:dyDescent="0.3">
      <c r="A112">
        <v>659</v>
      </c>
      <c r="C112">
        <v>65</v>
      </c>
      <c r="D112">
        <v>8956</v>
      </c>
      <c r="E112" t="s">
        <v>34</v>
      </c>
      <c r="F112" t="s">
        <v>35</v>
      </c>
      <c r="G112" t="s">
        <v>22</v>
      </c>
      <c r="H112" t="s">
        <v>23</v>
      </c>
      <c r="I112" t="s">
        <v>37</v>
      </c>
      <c r="J112">
        <v>51.36</v>
      </c>
      <c r="K112">
        <v>1</v>
      </c>
      <c r="L112">
        <v>2.5680000000000001</v>
      </c>
      <c r="M112">
        <v>53.927999999999997</v>
      </c>
      <c r="N112" s="1">
        <v>43481</v>
      </c>
      <c r="O112" s="2">
        <v>0.6430555555555556</v>
      </c>
      <c r="P112" t="s">
        <v>25</v>
      </c>
      <c r="Q112">
        <v>51.36</v>
      </c>
      <c r="R112">
        <v>4.7619047620000003</v>
      </c>
      <c r="S112">
        <v>2.5680000000000001</v>
      </c>
      <c r="T112">
        <v>5.2</v>
      </c>
    </row>
    <row r="113" spans="1:20" x14ac:dyDescent="0.3">
      <c r="A113">
        <v>642</v>
      </c>
      <c r="C113">
        <v>32</v>
      </c>
      <c r="D113">
        <v>2990</v>
      </c>
      <c r="E113" t="s">
        <v>20</v>
      </c>
      <c r="F113" t="s">
        <v>21</v>
      </c>
      <c r="G113" t="s">
        <v>22</v>
      </c>
      <c r="H113" t="s">
        <v>23</v>
      </c>
      <c r="I113" t="s">
        <v>36</v>
      </c>
      <c r="J113">
        <v>10.96</v>
      </c>
      <c r="K113">
        <v>10</v>
      </c>
      <c r="L113">
        <v>5.48</v>
      </c>
      <c r="M113">
        <v>115.08</v>
      </c>
      <c r="N113" s="1">
        <v>43498</v>
      </c>
      <c r="O113" s="2">
        <v>0.8666666666666667</v>
      </c>
      <c r="P113" t="s">
        <v>25</v>
      </c>
      <c r="Q113">
        <v>109.6</v>
      </c>
      <c r="R113">
        <v>4.7619047620000003</v>
      </c>
      <c r="S113">
        <v>5.48</v>
      </c>
      <c r="T113">
        <v>6</v>
      </c>
    </row>
    <row r="114" spans="1:20" x14ac:dyDescent="0.3">
      <c r="A114">
        <v>378</v>
      </c>
      <c r="C114">
        <v>24</v>
      </c>
      <c r="D114">
        <v>2715</v>
      </c>
      <c r="E114" t="s">
        <v>34</v>
      </c>
      <c r="F114" t="s">
        <v>35</v>
      </c>
      <c r="G114" t="s">
        <v>22</v>
      </c>
      <c r="H114" t="s">
        <v>23</v>
      </c>
      <c r="I114" t="s">
        <v>31</v>
      </c>
      <c r="J114">
        <v>53.44</v>
      </c>
      <c r="K114">
        <v>2</v>
      </c>
      <c r="L114">
        <v>5.3440000000000003</v>
      </c>
      <c r="M114">
        <v>112.224</v>
      </c>
      <c r="N114" s="1">
        <v>43485</v>
      </c>
      <c r="O114" s="2">
        <v>0.85972222222222228</v>
      </c>
      <c r="P114" t="s">
        <v>25</v>
      </c>
      <c r="Q114">
        <v>106.88</v>
      </c>
      <c r="R114">
        <v>4.7619047620000003</v>
      </c>
      <c r="S114">
        <v>5.3440000000000003</v>
      </c>
      <c r="T114">
        <v>4.0999999999999996</v>
      </c>
    </row>
    <row r="115" spans="1:20" x14ac:dyDescent="0.3">
      <c r="A115">
        <v>638</v>
      </c>
      <c r="C115">
        <v>60</v>
      </c>
      <c r="D115">
        <v>7125</v>
      </c>
      <c r="E115" t="s">
        <v>20</v>
      </c>
      <c r="F115" t="s">
        <v>21</v>
      </c>
      <c r="G115" t="s">
        <v>22</v>
      </c>
      <c r="H115" t="s">
        <v>23</v>
      </c>
      <c r="I115" t="s">
        <v>29</v>
      </c>
      <c r="J115">
        <v>99.56</v>
      </c>
      <c r="K115">
        <v>8</v>
      </c>
      <c r="L115">
        <v>39.823999999999998</v>
      </c>
      <c r="M115">
        <v>836.30399999999997</v>
      </c>
      <c r="N115" s="1">
        <v>43510</v>
      </c>
      <c r="O115" s="2">
        <v>0.7104166666666667</v>
      </c>
      <c r="P115" t="s">
        <v>32</v>
      </c>
      <c r="Q115">
        <v>796.48</v>
      </c>
      <c r="R115">
        <v>4.7619047620000003</v>
      </c>
      <c r="S115">
        <v>39.823999999999998</v>
      </c>
      <c r="T115">
        <v>5.2</v>
      </c>
    </row>
    <row r="116" spans="1:20" x14ac:dyDescent="0.3">
      <c r="A116">
        <v>659</v>
      </c>
      <c r="C116">
        <v>36</v>
      </c>
      <c r="D116">
        <v>1684</v>
      </c>
      <c r="E116" t="s">
        <v>26</v>
      </c>
      <c r="F116" t="s">
        <v>27</v>
      </c>
      <c r="G116" t="s">
        <v>22</v>
      </c>
      <c r="H116" t="s">
        <v>23</v>
      </c>
      <c r="I116" t="s">
        <v>33</v>
      </c>
      <c r="J116">
        <v>57.12</v>
      </c>
      <c r="K116">
        <v>7</v>
      </c>
      <c r="L116">
        <v>19.992000000000001</v>
      </c>
      <c r="M116">
        <v>419.83199999999999</v>
      </c>
      <c r="N116" s="1">
        <v>43477</v>
      </c>
      <c r="O116" s="2">
        <v>0.50138888888888888</v>
      </c>
      <c r="P116" t="s">
        <v>32</v>
      </c>
      <c r="Q116">
        <v>399.84</v>
      </c>
      <c r="R116">
        <v>4.7619047620000003</v>
      </c>
      <c r="S116">
        <v>19.992000000000001</v>
      </c>
      <c r="T116">
        <v>6.5</v>
      </c>
    </row>
    <row r="117" spans="1:20" x14ac:dyDescent="0.3">
      <c r="A117">
        <v>219</v>
      </c>
      <c r="C117">
        <v>22</v>
      </c>
      <c r="D117">
        <v>9386</v>
      </c>
      <c r="E117" t="s">
        <v>34</v>
      </c>
      <c r="F117" t="s">
        <v>35</v>
      </c>
      <c r="G117" t="s">
        <v>22</v>
      </c>
      <c r="H117" t="s">
        <v>23</v>
      </c>
      <c r="I117" t="s">
        <v>33</v>
      </c>
      <c r="J117">
        <v>99.96</v>
      </c>
      <c r="K117">
        <v>9</v>
      </c>
      <c r="L117">
        <v>44.981999999999999</v>
      </c>
      <c r="M117">
        <v>944.62199999999996</v>
      </c>
      <c r="N117" s="1">
        <v>43533</v>
      </c>
      <c r="O117" s="2">
        <v>0.72638888888888886</v>
      </c>
      <c r="P117" t="s">
        <v>32</v>
      </c>
      <c r="Q117">
        <v>899.64</v>
      </c>
      <c r="R117">
        <v>4.7619047620000003</v>
      </c>
      <c r="S117">
        <v>44.981999999999999</v>
      </c>
      <c r="T117">
        <v>4.2</v>
      </c>
    </row>
    <row r="118" spans="1:20" x14ac:dyDescent="0.3">
      <c r="A118">
        <v>336</v>
      </c>
      <c r="C118">
        <v>78</v>
      </c>
      <c r="D118">
        <v>2147</v>
      </c>
      <c r="E118" t="s">
        <v>26</v>
      </c>
      <c r="F118" t="s">
        <v>27</v>
      </c>
      <c r="G118" t="s">
        <v>22</v>
      </c>
      <c r="H118" t="s">
        <v>23</v>
      </c>
      <c r="I118" t="s">
        <v>31</v>
      </c>
      <c r="J118">
        <v>63.91</v>
      </c>
      <c r="K118">
        <v>8</v>
      </c>
      <c r="L118">
        <v>25.564</v>
      </c>
      <c r="M118">
        <v>536.84400000000005</v>
      </c>
      <c r="N118" s="1">
        <v>43537</v>
      </c>
      <c r="O118" s="2">
        <v>0.82777777777777772</v>
      </c>
      <c r="P118" t="s">
        <v>32</v>
      </c>
      <c r="Q118">
        <v>511.28</v>
      </c>
      <c r="R118">
        <v>4.7619047620000003</v>
      </c>
      <c r="S118">
        <v>25.564</v>
      </c>
      <c r="T118">
        <v>4.5999999999999996</v>
      </c>
    </row>
    <row r="119" spans="1:20" x14ac:dyDescent="0.3">
      <c r="A119">
        <v>268</v>
      </c>
      <c r="C119">
        <v>27</v>
      </c>
      <c r="D119">
        <v>6179</v>
      </c>
      <c r="E119" t="s">
        <v>34</v>
      </c>
      <c r="F119" t="s">
        <v>35</v>
      </c>
      <c r="G119" t="s">
        <v>22</v>
      </c>
      <c r="H119" t="s">
        <v>23</v>
      </c>
      <c r="I119" t="s">
        <v>37</v>
      </c>
      <c r="J119">
        <v>56.47</v>
      </c>
      <c r="K119">
        <v>8</v>
      </c>
      <c r="L119">
        <v>22.588000000000001</v>
      </c>
      <c r="M119">
        <v>474.34800000000001</v>
      </c>
      <c r="N119" s="1">
        <v>43533</v>
      </c>
      <c r="O119" s="2">
        <v>0.62291666666666667</v>
      </c>
      <c r="P119" t="s">
        <v>25</v>
      </c>
      <c r="Q119">
        <v>451.76</v>
      </c>
      <c r="R119">
        <v>4.7619047620000003</v>
      </c>
      <c r="S119">
        <v>22.588000000000001</v>
      </c>
      <c r="T119">
        <v>7.3</v>
      </c>
    </row>
    <row r="120" spans="1:20" x14ac:dyDescent="0.3">
      <c r="A120">
        <v>668</v>
      </c>
      <c r="C120">
        <v>90</v>
      </c>
      <c r="D120">
        <v>8900</v>
      </c>
      <c r="E120" t="s">
        <v>20</v>
      </c>
      <c r="F120" t="s">
        <v>21</v>
      </c>
      <c r="G120" t="s">
        <v>22</v>
      </c>
      <c r="H120" t="s">
        <v>23</v>
      </c>
      <c r="I120" t="s">
        <v>31</v>
      </c>
      <c r="J120">
        <v>93.69</v>
      </c>
      <c r="K120">
        <v>7</v>
      </c>
      <c r="L120">
        <v>32.791499999999999</v>
      </c>
      <c r="M120">
        <v>688.62149999999997</v>
      </c>
      <c r="N120" s="1">
        <v>43534</v>
      </c>
      <c r="O120" s="2">
        <v>0.78055555555555556</v>
      </c>
      <c r="P120" t="s">
        <v>32</v>
      </c>
      <c r="Q120">
        <v>655.83</v>
      </c>
      <c r="R120">
        <v>4.7619047620000003</v>
      </c>
      <c r="S120">
        <v>32.791499999999999</v>
      </c>
      <c r="T120">
        <v>4.5</v>
      </c>
    </row>
    <row r="121" spans="1:20" x14ac:dyDescent="0.3">
      <c r="A121">
        <v>870</v>
      </c>
      <c r="C121">
        <v>54</v>
      </c>
      <c r="D121">
        <v>3162</v>
      </c>
      <c r="E121" t="s">
        <v>20</v>
      </c>
      <c r="F121" t="s">
        <v>21</v>
      </c>
      <c r="G121" t="s">
        <v>22</v>
      </c>
      <c r="H121" t="s">
        <v>23</v>
      </c>
      <c r="I121" t="s">
        <v>33</v>
      </c>
      <c r="J121">
        <v>32.25</v>
      </c>
      <c r="K121">
        <v>5</v>
      </c>
      <c r="L121">
        <v>8.0625</v>
      </c>
      <c r="M121">
        <v>169.3125</v>
      </c>
      <c r="N121" s="1">
        <v>43492</v>
      </c>
      <c r="O121" s="2">
        <v>0.55972222222222223</v>
      </c>
      <c r="P121" t="s">
        <v>30</v>
      </c>
      <c r="Q121">
        <v>161.25</v>
      </c>
      <c r="R121">
        <v>4.7619047620000003</v>
      </c>
      <c r="S121">
        <v>8.0625</v>
      </c>
      <c r="T121">
        <v>9</v>
      </c>
    </row>
    <row r="122" spans="1:20" x14ac:dyDescent="0.3">
      <c r="A122">
        <v>189</v>
      </c>
      <c r="C122">
        <v>8</v>
      </c>
      <c r="D122">
        <v>9157</v>
      </c>
      <c r="E122" t="s">
        <v>26</v>
      </c>
      <c r="F122" t="s">
        <v>27</v>
      </c>
      <c r="G122" t="s">
        <v>22</v>
      </c>
      <c r="H122" t="s">
        <v>23</v>
      </c>
      <c r="I122" t="s">
        <v>37</v>
      </c>
      <c r="J122">
        <v>31.73</v>
      </c>
      <c r="K122">
        <v>9</v>
      </c>
      <c r="L122">
        <v>14.278499999999999</v>
      </c>
      <c r="M122">
        <v>299.8485</v>
      </c>
      <c r="N122" s="1">
        <v>43473</v>
      </c>
      <c r="O122" s="2">
        <v>0.67847222222222225</v>
      </c>
      <c r="P122" t="s">
        <v>32</v>
      </c>
      <c r="Q122">
        <v>285.57</v>
      </c>
      <c r="R122">
        <v>4.7619047620000003</v>
      </c>
      <c r="S122">
        <v>14.278499999999999</v>
      </c>
      <c r="T122">
        <v>5.9</v>
      </c>
    </row>
    <row r="123" spans="1:20" x14ac:dyDescent="0.3">
      <c r="A123">
        <v>663</v>
      </c>
      <c r="C123">
        <v>86</v>
      </c>
      <c r="D123">
        <v>9076</v>
      </c>
      <c r="E123" t="s">
        <v>26</v>
      </c>
      <c r="F123" t="s">
        <v>27</v>
      </c>
      <c r="G123" t="s">
        <v>22</v>
      </c>
      <c r="H123" t="s">
        <v>23</v>
      </c>
      <c r="I123" t="s">
        <v>36</v>
      </c>
      <c r="J123">
        <v>68.540000000000006</v>
      </c>
      <c r="K123">
        <v>8</v>
      </c>
      <c r="L123">
        <v>27.416</v>
      </c>
      <c r="M123">
        <v>575.73599999999999</v>
      </c>
      <c r="N123" s="1">
        <v>43473</v>
      </c>
      <c r="O123" s="2">
        <v>0.6645833333333333</v>
      </c>
      <c r="P123" t="s">
        <v>25</v>
      </c>
      <c r="Q123">
        <v>548.32000000000005</v>
      </c>
      <c r="R123">
        <v>4.7619047620000003</v>
      </c>
      <c r="S123">
        <v>27.416</v>
      </c>
      <c r="T123">
        <v>8.5</v>
      </c>
    </row>
    <row r="124" spans="1:20" x14ac:dyDescent="0.3">
      <c r="A124">
        <v>549</v>
      </c>
      <c r="C124">
        <v>84</v>
      </c>
      <c r="D124">
        <v>7482</v>
      </c>
      <c r="E124" t="s">
        <v>34</v>
      </c>
      <c r="F124" t="s">
        <v>35</v>
      </c>
      <c r="G124" t="s">
        <v>22</v>
      </c>
      <c r="H124" t="s">
        <v>23</v>
      </c>
      <c r="I124" t="s">
        <v>33</v>
      </c>
      <c r="J124">
        <v>90.28</v>
      </c>
      <c r="K124">
        <v>9</v>
      </c>
      <c r="L124">
        <v>40.625999999999998</v>
      </c>
      <c r="M124">
        <v>853.14599999999996</v>
      </c>
      <c r="N124" s="1">
        <v>43504</v>
      </c>
      <c r="O124" s="2">
        <v>0.46875</v>
      </c>
      <c r="P124" t="s">
        <v>25</v>
      </c>
      <c r="Q124">
        <v>812.52</v>
      </c>
      <c r="R124">
        <v>4.7619047620000003</v>
      </c>
      <c r="S124">
        <v>40.625999999999998</v>
      </c>
      <c r="T124">
        <v>7.2</v>
      </c>
    </row>
    <row r="125" spans="1:20" x14ac:dyDescent="0.3">
      <c r="A125">
        <v>191</v>
      </c>
      <c r="C125">
        <v>10</v>
      </c>
      <c r="D125">
        <v>6171</v>
      </c>
      <c r="E125" t="s">
        <v>34</v>
      </c>
      <c r="F125" t="s">
        <v>35</v>
      </c>
      <c r="G125" t="s">
        <v>28</v>
      </c>
      <c r="H125" t="s">
        <v>23</v>
      </c>
      <c r="I125" t="s">
        <v>37</v>
      </c>
      <c r="J125">
        <v>39.619999999999997</v>
      </c>
      <c r="K125">
        <v>7</v>
      </c>
      <c r="L125">
        <v>13.867000000000001</v>
      </c>
      <c r="M125">
        <v>291.20699999999999</v>
      </c>
      <c r="N125" s="1">
        <v>43490</v>
      </c>
      <c r="O125" s="2">
        <v>0.5541666666666667</v>
      </c>
      <c r="P125" t="s">
        <v>30</v>
      </c>
      <c r="Q125">
        <v>277.33999999999997</v>
      </c>
      <c r="R125">
        <v>4.7619047620000003</v>
      </c>
      <c r="S125">
        <v>13.867000000000001</v>
      </c>
      <c r="T125">
        <v>7.5</v>
      </c>
    </row>
    <row r="126" spans="1:20" x14ac:dyDescent="0.3">
      <c r="A126">
        <v>802</v>
      </c>
      <c r="C126">
        <v>70</v>
      </c>
      <c r="D126">
        <v>5316</v>
      </c>
      <c r="E126" t="s">
        <v>20</v>
      </c>
      <c r="F126" t="s">
        <v>21</v>
      </c>
      <c r="G126" t="s">
        <v>22</v>
      </c>
      <c r="H126" t="s">
        <v>23</v>
      </c>
      <c r="I126" t="s">
        <v>33</v>
      </c>
      <c r="J126">
        <v>92.13</v>
      </c>
      <c r="K126">
        <v>6</v>
      </c>
      <c r="L126">
        <v>27.638999999999999</v>
      </c>
      <c r="M126">
        <v>580.41899999999998</v>
      </c>
      <c r="N126" s="1">
        <v>43530</v>
      </c>
      <c r="O126" s="2">
        <v>0.8569444444444444</v>
      </c>
      <c r="P126" t="s">
        <v>30</v>
      </c>
      <c r="Q126">
        <v>552.78</v>
      </c>
      <c r="R126">
        <v>4.7619047620000003</v>
      </c>
      <c r="S126">
        <v>27.638999999999999</v>
      </c>
      <c r="T126">
        <v>8.3000000000000007</v>
      </c>
    </row>
    <row r="127" spans="1:20" x14ac:dyDescent="0.3">
      <c r="A127">
        <v>695</v>
      </c>
      <c r="C127">
        <v>51</v>
      </c>
      <c r="D127">
        <v>18</v>
      </c>
      <c r="E127" t="s">
        <v>34</v>
      </c>
      <c r="F127" t="s">
        <v>35</v>
      </c>
      <c r="G127" t="s">
        <v>28</v>
      </c>
      <c r="H127" t="s">
        <v>23</v>
      </c>
      <c r="I127" t="s">
        <v>33</v>
      </c>
      <c r="J127">
        <v>34.840000000000003</v>
      </c>
      <c r="K127">
        <v>4</v>
      </c>
      <c r="L127">
        <v>6.968</v>
      </c>
      <c r="M127">
        <v>146.328</v>
      </c>
      <c r="N127" s="1">
        <v>43506</v>
      </c>
      <c r="O127" s="2">
        <v>0.77500000000000002</v>
      </c>
      <c r="P127" t="s">
        <v>30</v>
      </c>
      <c r="Q127">
        <v>139.36000000000001</v>
      </c>
      <c r="R127">
        <v>4.7619047620000003</v>
      </c>
      <c r="S127">
        <v>6.968</v>
      </c>
      <c r="T127">
        <v>7.4</v>
      </c>
    </row>
    <row r="128" spans="1:20" x14ac:dyDescent="0.3">
      <c r="A128">
        <v>590</v>
      </c>
      <c r="C128">
        <v>83</v>
      </c>
      <c r="D128">
        <v>4591</v>
      </c>
      <c r="E128" t="s">
        <v>34</v>
      </c>
      <c r="F128" t="s">
        <v>35</v>
      </c>
      <c r="G128" t="s">
        <v>22</v>
      </c>
      <c r="H128" t="s">
        <v>23</v>
      </c>
      <c r="I128" t="s">
        <v>29</v>
      </c>
      <c r="J128">
        <v>87.45</v>
      </c>
      <c r="K128">
        <v>6</v>
      </c>
      <c r="L128">
        <v>26.234999999999999</v>
      </c>
      <c r="M128">
        <v>550.93499999999995</v>
      </c>
      <c r="N128" s="1">
        <v>43513</v>
      </c>
      <c r="O128" s="2">
        <v>0.61111111111111116</v>
      </c>
      <c r="P128" t="s">
        <v>32</v>
      </c>
      <c r="Q128">
        <v>524.70000000000005</v>
      </c>
      <c r="R128">
        <v>4.7619047620000003</v>
      </c>
      <c r="S128">
        <v>26.234999999999999</v>
      </c>
      <c r="T128">
        <v>8.8000000000000007</v>
      </c>
    </row>
    <row r="129" spans="1:20" x14ac:dyDescent="0.3">
      <c r="A129">
        <v>483</v>
      </c>
      <c r="C129">
        <v>71</v>
      </c>
      <c r="D129">
        <v>1164</v>
      </c>
      <c r="E129" t="s">
        <v>26</v>
      </c>
      <c r="F129" t="s">
        <v>27</v>
      </c>
      <c r="G129" t="s">
        <v>28</v>
      </c>
      <c r="H129" t="s">
        <v>23</v>
      </c>
      <c r="I129" t="s">
        <v>24</v>
      </c>
      <c r="J129">
        <v>81.3</v>
      </c>
      <c r="K129">
        <v>6</v>
      </c>
      <c r="L129">
        <v>24.39</v>
      </c>
      <c r="M129">
        <v>512.19000000000005</v>
      </c>
      <c r="N129" s="1">
        <v>43532</v>
      </c>
      <c r="O129" s="2">
        <v>0.69652777777777775</v>
      </c>
      <c r="P129" t="s">
        <v>25</v>
      </c>
      <c r="Q129">
        <v>487.8</v>
      </c>
      <c r="R129">
        <v>4.7619047620000003</v>
      </c>
      <c r="S129">
        <v>24.39</v>
      </c>
      <c r="T129">
        <v>5.3</v>
      </c>
    </row>
    <row r="130" spans="1:20" x14ac:dyDescent="0.3">
      <c r="A130">
        <v>597</v>
      </c>
      <c r="C130">
        <v>78</v>
      </c>
      <c r="D130">
        <v>7908</v>
      </c>
      <c r="E130" t="s">
        <v>26</v>
      </c>
      <c r="F130" t="s">
        <v>27</v>
      </c>
      <c r="G130" t="s">
        <v>28</v>
      </c>
      <c r="H130" t="s">
        <v>23</v>
      </c>
      <c r="I130" t="s">
        <v>37</v>
      </c>
      <c r="J130">
        <v>90.22</v>
      </c>
      <c r="K130">
        <v>3</v>
      </c>
      <c r="L130">
        <v>13.532999999999999</v>
      </c>
      <c r="M130">
        <v>284.19299999999998</v>
      </c>
      <c r="N130" s="1">
        <v>43514</v>
      </c>
      <c r="O130" s="2">
        <v>0.81874999999999998</v>
      </c>
      <c r="P130" t="s">
        <v>30</v>
      </c>
      <c r="Q130">
        <v>270.66000000000003</v>
      </c>
      <c r="R130">
        <v>4.7619047620000003</v>
      </c>
      <c r="S130">
        <v>13.532999999999999</v>
      </c>
      <c r="T130">
        <v>6.2</v>
      </c>
    </row>
    <row r="131" spans="1:20" x14ac:dyDescent="0.3">
      <c r="A131">
        <v>354</v>
      </c>
      <c r="C131">
        <v>39</v>
      </c>
      <c r="D131">
        <v>5160</v>
      </c>
      <c r="E131" t="s">
        <v>20</v>
      </c>
      <c r="F131" t="s">
        <v>21</v>
      </c>
      <c r="G131" t="s">
        <v>22</v>
      </c>
      <c r="H131" t="s">
        <v>23</v>
      </c>
      <c r="I131" t="s">
        <v>31</v>
      </c>
      <c r="J131">
        <v>34.42</v>
      </c>
      <c r="K131">
        <v>6</v>
      </c>
      <c r="L131">
        <v>10.326000000000001</v>
      </c>
      <c r="M131">
        <v>216.846</v>
      </c>
      <c r="N131" s="1">
        <v>43514</v>
      </c>
      <c r="O131" s="2">
        <v>0.65208333333333335</v>
      </c>
      <c r="P131" t="s">
        <v>30</v>
      </c>
      <c r="Q131">
        <v>206.52</v>
      </c>
      <c r="R131">
        <v>4.7619047620000003</v>
      </c>
      <c r="S131">
        <v>10.326000000000001</v>
      </c>
      <c r="T131">
        <v>9.8000000000000007</v>
      </c>
    </row>
    <row r="132" spans="1:20" x14ac:dyDescent="0.3">
      <c r="A132">
        <v>241</v>
      </c>
      <c r="C132">
        <v>72</v>
      </c>
      <c r="D132">
        <v>9525</v>
      </c>
      <c r="E132" t="s">
        <v>34</v>
      </c>
      <c r="F132" t="s">
        <v>35</v>
      </c>
      <c r="G132" t="s">
        <v>28</v>
      </c>
      <c r="H132" t="s">
        <v>23</v>
      </c>
      <c r="I132" t="s">
        <v>33</v>
      </c>
      <c r="J132">
        <v>51.91</v>
      </c>
      <c r="K132">
        <v>10</v>
      </c>
      <c r="L132">
        <v>25.954999999999998</v>
      </c>
      <c r="M132">
        <v>545.05499999999995</v>
      </c>
      <c r="N132" s="1">
        <v>43512</v>
      </c>
      <c r="O132" s="2">
        <v>0.51458333333333328</v>
      </c>
      <c r="P132" t="s">
        <v>30</v>
      </c>
      <c r="Q132">
        <v>519.1</v>
      </c>
      <c r="R132">
        <v>4.7619047620000003</v>
      </c>
      <c r="S132">
        <v>25.954999999999998</v>
      </c>
      <c r="T132">
        <v>8.1999999999999993</v>
      </c>
    </row>
    <row r="133" spans="1:20" x14ac:dyDescent="0.3">
      <c r="A133">
        <v>575</v>
      </c>
      <c r="C133">
        <v>30</v>
      </c>
      <c r="D133">
        <v>8091</v>
      </c>
      <c r="E133" t="s">
        <v>20</v>
      </c>
      <c r="F133" t="s">
        <v>21</v>
      </c>
      <c r="G133" t="s">
        <v>28</v>
      </c>
      <c r="H133" t="s">
        <v>23</v>
      </c>
      <c r="I133" t="s">
        <v>33</v>
      </c>
      <c r="J133">
        <v>72.5</v>
      </c>
      <c r="K133">
        <v>8</v>
      </c>
      <c r="L133">
        <v>29</v>
      </c>
      <c r="M133">
        <v>609</v>
      </c>
      <c r="N133" s="1">
        <v>43540</v>
      </c>
      <c r="O133" s="2">
        <v>0.80902777777777779</v>
      </c>
      <c r="P133" t="s">
        <v>25</v>
      </c>
      <c r="Q133">
        <v>580</v>
      </c>
      <c r="R133">
        <v>4.7619047620000003</v>
      </c>
      <c r="S133">
        <v>29</v>
      </c>
      <c r="T133">
        <v>9.1999999999999993</v>
      </c>
    </row>
    <row r="134" spans="1:20" x14ac:dyDescent="0.3">
      <c r="A134">
        <v>731</v>
      </c>
      <c r="C134">
        <v>81</v>
      </c>
      <c r="D134">
        <v>9469</v>
      </c>
      <c r="E134" t="s">
        <v>26</v>
      </c>
      <c r="F134" t="s">
        <v>27</v>
      </c>
      <c r="G134" t="s">
        <v>22</v>
      </c>
      <c r="H134" t="s">
        <v>23</v>
      </c>
      <c r="I134" t="s">
        <v>33</v>
      </c>
      <c r="J134">
        <v>89.8</v>
      </c>
      <c r="K134">
        <v>10</v>
      </c>
      <c r="L134">
        <v>44.9</v>
      </c>
      <c r="M134">
        <v>942.9</v>
      </c>
      <c r="N134" s="1">
        <v>43488</v>
      </c>
      <c r="O134" s="2">
        <v>0.54166666666666663</v>
      </c>
      <c r="P134" t="s">
        <v>32</v>
      </c>
      <c r="Q134">
        <v>898</v>
      </c>
      <c r="R134">
        <v>4.7619047620000003</v>
      </c>
      <c r="S134">
        <v>44.9</v>
      </c>
      <c r="T134">
        <v>5.4</v>
      </c>
    </row>
    <row r="135" spans="1:20" x14ac:dyDescent="0.3">
      <c r="A135">
        <v>280</v>
      </c>
      <c r="C135">
        <v>17</v>
      </c>
      <c r="D135">
        <v>4359</v>
      </c>
      <c r="E135" t="s">
        <v>26</v>
      </c>
      <c r="F135" t="s">
        <v>27</v>
      </c>
      <c r="G135" t="s">
        <v>22</v>
      </c>
      <c r="H135" t="s">
        <v>38</v>
      </c>
      <c r="I135" t="s">
        <v>24</v>
      </c>
      <c r="J135">
        <v>90.5</v>
      </c>
      <c r="K135">
        <v>10</v>
      </c>
      <c r="L135">
        <v>45.25</v>
      </c>
      <c r="M135">
        <v>950.25</v>
      </c>
      <c r="N135" s="1">
        <v>43490</v>
      </c>
      <c r="O135" s="2">
        <v>0.57499999999999996</v>
      </c>
      <c r="P135" t="s">
        <v>30</v>
      </c>
      <c r="Q135">
        <v>905</v>
      </c>
      <c r="R135">
        <v>4.7619047620000003</v>
      </c>
      <c r="S135">
        <v>45.25</v>
      </c>
      <c r="T135">
        <v>8.1</v>
      </c>
    </row>
    <row r="136" spans="1:20" x14ac:dyDescent="0.3">
      <c r="A136">
        <v>338</v>
      </c>
      <c r="C136">
        <v>65</v>
      </c>
      <c r="D136">
        <v>2210</v>
      </c>
      <c r="E136" t="s">
        <v>26</v>
      </c>
      <c r="F136" t="s">
        <v>27</v>
      </c>
      <c r="G136" t="s">
        <v>22</v>
      </c>
      <c r="H136" t="s">
        <v>23</v>
      </c>
      <c r="I136" t="s">
        <v>24</v>
      </c>
      <c r="J136">
        <v>68.599999999999994</v>
      </c>
      <c r="K136">
        <v>10</v>
      </c>
      <c r="L136">
        <v>34.299999999999997</v>
      </c>
      <c r="M136">
        <v>720.3</v>
      </c>
      <c r="N136" s="1">
        <v>43501</v>
      </c>
      <c r="O136" s="2">
        <v>0.83125000000000004</v>
      </c>
      <c r="P136" t="s">
        <v>30</v>
      </c>
      <c r="Q136">
        <v>686</v>
      </c>
      <c r="R136">
        <v>4.7619047620000003</v>
      </c>
      <c r="S136">
        <v>34.299999999999997</v>
      </c>
      <c r="T136">
        <v>9.1</v>
      </c>
    </row>
    <row r="137" spans="1:20" x14ac:dyDescent="0.3">
      <c r="A137">
        <v>488</v>
      </c>
      <c r="C137">
        <v>25</v>
      </c>
      <c r="D137">
        <v>4221</v>
      </c>
      <c r="E137" t="s">
        <v>26</v>
      </c>
      <c r="F137" t="s">
        <v>27</v>
      </c>
      <c r="G137" t="s">
        <v>22</v>
      </c>
      <c r="H137" t="s">
        <v>23</v>
      </c>
      <c r="I137" t="s">
        <v>36</v>
      </c>
      <c r="J137">
        <v>30.41</v>
      </c>
      <c r="K137">
        <v>1</v>
      </c>
      <c r="L137">
        <v>1.5205</v>
      </c>
      <c r="M137">
        <v>31.930499999999999</v>
      </c>
      <c r="N137" s="1">
        <v>43518</v>
      </c>
      <c r="O137" s="2">
        <v>0.44166666666666665</v>
      </c>
      <c r="P137" t="s">
        <v>32</v>
      </c>
      <c r="Q137">
        <v>30.41</v>
      </c>
      <c r="R137">
        <v>4.7619047620000003</v>
      </c>
      <c r="S137">
        <v>1.5205</v>
      </c>
      <c r="T137">
        <v>8.4</v>
      </c>
    </row>
    <row r="138" spans="1:20" x14ac:dyDescent="0.3">
      <c r="A138">
        <v>239</v>
      </c>
      <c r="C138">
        <v>10</v>
      </c>
      <c r="D138">
        <v>7476</v>
      </c>
      <c r="E138" t="s">
        <v>20</v>
      </c>
      <c r="F138" t="s">
        <v>21</v>
      </c>
      <c r="G138" t="s">
        <v>28</v>
      </c>
      <c r="H138" t="s">
        <v>23</v>
      </c>
      <c r="I138" t="s">
        <v>31</v>
      </c>
      <c r="J138">
        <v>77.95</v>
      </c>
      <c r="K138">
        <v>6</v>
      </c>
      <c r="L138">
        <v>23.385000000000002</v>
      </c>
      <c r="M138">
        <v>491.08499999999998</v>
      </c>
      <c r="N138" s="1">
        <v>43486</v>
      </c>
      <c r="O138" s="2">
        <v>0.69236111111111109</v>
      </c>
      <c r="P138" t="s">
        <v>25</v>
      </c>
      <c r="Q138">
        <v>467.7</v>
      </c>
      <c r="R138">
        <v>4.7619047620000003</v>
      </c>
      <c r="S138">
        <v>23.385000000000002</v>
      </c>
      <c r="T138">
        <v>8</v>
      </c>
    </row>
    <row r="139" spans="1:20" x14ac:dyDescent="0.3">
      <c r="A139">
        <v>458</v>
      </c>
      <c r="C139">
        <v>41</v>
      </c>
      <c r="D139">
        <v>1477</v>
      </c>
      <c r="E139" t="s">
        <v>26</v>
      </c>
      <c r="F139" t="s">
        <v>27</v>
      </c>
      <c r="G139" t="s">
        <v>28</v>
      </c>
      <c r="H139" t="s">
        <v>23</v>
      </c>
      <c r="I139" t="s">
        <v>24</v>
      </c>
      <c r="J139">
        <v>46.26</v>
      </c>
      <c r="K139">
        <v>6</v>
      </c>
      <c r="L139">
        <v>13.878</v>
      </c>
      <c r="M139">
        <v>291.43799999999999</v>
      </c>
      <c r="N139" s="1">
        <v>43532</v>
      </c>
      <c r="O139" s="2">
        <v>0.71597222222222223</v>
      </c>
      <c r="P139" t="s">
        <v>32</v>
      </c>
      <c r="Q139">
        <v>277.56</v>
      </c>
      <c r="R139">
        <v>4.7619047620000003</v>
      </c>
      <c r="S139">
        <v>13.878</v>
      </c>
      <c r="T139">
        <v>9.5</v>
      </c>
    </row>
    <row r="140" spans="1:20" x14ac:dyDescent="0.3">
      <c r="A140">
        <v>685</v>
      </c>
      <c r="C140">
        <v>64</v>
      </c>
      <c r="D140">
        <v>1609</v>
      </c>
      <c r="E140" t="s">
        <v>20</v>
      </c>
      <c r="F140" t="s">
        <v>21</v>
      </c>
      <c r="G140" t="s">
        <v>22</v>
      </c>
      <c r="H140" t="s">
        <v>23</v>
      </c>
      <c r="I140" t="s">
        <v>37</v>
      </c>
      <c r="J140">
        <v>30.14</v>
      </c>
      <c r="K140">
        <v>10</v>
      </c>
      <c r="L140">
        <v>15.07</v>
      </c>
      <c r="M140">
        <v>316.47000000000003</v>
      </c>
      <c r="N140" s="1">
        <v>43506</v>
      </c>
      <c r="O140" s="2">
        <v>0.51944444444444449</v>
      </c>
      <c r="P140" t="s">
        <v>25</v>
      </c>
      <c r="Q140">
        <v>301.39999999999998</v>
      </c>
      <c r="R140">
        <v>4.7619047620000003</v>
      </c>
      <c r="S140">
        <v>15.07</v>
      </c>
      <c r="T140">
        <v>9.1999999999999993</v>
      </c>
    </row>
    <row r="141" spans="1:20" x14ac:dyDescent="0.3">
      <c r="A141">
        <v>568</v>
      </c>
      <c r="C141">
        <v>90</v>
      </c>
      <c r="D141">
        <v>5112</v>
      </c>
      <c r="E141" t="s">
        <v>26</v>
      </c>
      <c r="F141" t="s">
        <v>27</v>
      </c>
      <c r="G141" t="s">
        <v>28</v>
      </c>
      <c r="H141" t="s">
        <v>38</v>
      </c>
      <c r="I141" t="s">
        <v>24</v>
      </c>
      <c r="J141">
        <v>66.14</v>
      </c>
      <c r="K141">
        <v>4</v>
      </c>
      <c r="L141">
        <v>13.228</v>
      </c>
      <c r="M141">
        <v>277.78800000000001</v>
      </c>
      <c r="N141" s="1">
        <v>43543</v>
      </c>
      <c r="O141" s="2">
        <v>0.53194444444444444</v>
      </c>
      <c r="P141" t="s">
        <v>32</v>
      </c>
      <c r="Q141">
        <v>264.56</v>
      </c>
      <c r="R141">
        <v>4.7619047620000003</v>
      </c>
      <c r="S141">
        <v>13.228</v>
      </c>
      <c r="T141">
        <v>5.6</v>
      </c>
    </row>
    <row r="142" spans="1:20" x14ac:dyDescent="0.3">
      <c r="A142">
        <v>262</v>
      </c>
      <c r="C142">
        <v>47</v>
      </c>
      <c r="D142">
        <v>2794</v>
      </c>
      <c r="E142" t="s">
        <v>34</v>
      </c>
      <c r="F142" t="s">
        <v>35</v>
      </c>
      <c r="G142" t="s">
        <v>22</v>
      </c>
      <c r="H142" t="s">
        <v>38</v>
      </c>
      <c r="I142" t="s">
        <v>31</v>
      </c>
      <c r="J142">
        <v>71.86</v>
      </c>
      <c r="K142">
        <v>8</v>
      </c>
      <c r="L142">
        <v>28.744</v>
      </c>
      <c r="M142">
        <v>603.62400000000002</v>
      </c>
      <c r="N142" s="1">
        <v>43530</v>
      </c>
      <c r="O142" s="2">
        <v>0.62986111111111109</v>
      </c>
      <c r="P142" t="s">
        <v>32</v>
      </c>
      <c r="Q142">
        <v>574.88</v>
      </c>
      <c r="R142">
        <v>4.7619047620000003</v>
      </c>
      <c r="S142">
        <v>28.744</v>
      </c>
      <c r="T142">
        <v>6.2</v>
      </c>
    </row>
    <row r="143" spans="1:20" x14ac:dyDescent="0.3">
      <c r="A143">
        <v>238</v>
      </c>
      <c r="C143">
        <v>49</v>
      </c>
      <c r="D143">
        <v>436</v>
      </c>
      <c r="E143" t="s">
        <v>20</v>
      </c>
      <c r="F143" t="s">
        <v>21</v>
      </c>
      <c r="G143" t="s">
        <v>28</v>
      </c>
      <c r="H143" t="s">
        <v>38</v>
      </c>
      <c r="I143" t="s">
        <v>24</v>
      </c>
      <c r="J143">
        <v>32.46</v>
      </c>
      <c r="K143">
        <v>8</v>
      </c>
      <c r="L143">
        <v>12.984</v>
      </c>
      <c r="M143">
        <v>272.66399999999999</v>
      </c>
      <c r="N143" s="1">
        <v>43551</v>
      </c>
      <c r="O143" s="2">
        <v>0.57499999999999996</v>
      </c>
      <c r="P143" t="s">
        <v>32</v>
      </c>
      <c r="Q143">
        <v>259.68</v>
      </c>
      <c r="R143">
        <v>4.7619047620000003</v>
      </c>
      <c r="S143">
        <v>12.984</v>
      </c>
      <c r="T143">
        <v>4.9000000000000004</v>
      </c>
    </row>
    <row r="144" spans="1:20" x14ac:dyDescent="0.3">
      <c r="A144">
        <v>608</v>
      </c>
      <c r="C144">
        <v>96</v>
      </c>
      <c r="D144">
        <v>3517</v>
      </c>
      <c r="E144" t="s">
        <v>34</v>
      </c>
      <c r="F144" t="s">
        <v>35</v>
      </c>
      <c r="G144" t="s">
        <v>22</v>
      </c>
      <c r="H144" t="s">
        <v>23</v>
      </c>
      <c r="I144" t="s">
        <v>37</v>
      </c>
      <c r="J144">
        <v>91.54</v>
      </c>
      <c r="K144">
        <v>4</v>
      </c>
      <c r="L144">
        <v>18.308</v>
      </c>
      <c r="M144">
        <v>384.46800000000002</v>
      </c>
      <c r="N144" s="1">
        <v>43547</v>
      </c>
      <c r="O144" s="2">
        <v>0.80555555555555558</v>
      </c>
      <c r="P144" t="s">
        <v>32</v>
      </c>
      <c r="Q144">
        <v>366.16</v>
      </c>
      <c r="R144">
        <v>4.7619047620000003</v>
      </c>
      <c r="S144">
        <v>18.308</v>
      </c>
      <c r="T144">
        <v>4.8</v>
      </c>
    </row>
    <row r="145" spans="1:20" x14ac:dyDescent="0.3">
      <c r="A145">
        <v>584</v>
      </c>
      <c r="C145">
        <v>86</v>
      </c>
      <c r="D145">
        <v>7256</v>
      </c>
      <c r="E145" t="s">
        <v>26</v>
      </c>
      <c r="F145" t="s">
        <v>27</v>
      </c>
      <c r="G145" t="s">
        <v>22</v>
      </c>
      <c r="H145" t="s">
        <v>38</v>
      </c>
      <c r="I145" t="s">
        <v>33</v>
      </c>
      <c r="J145">
        <v>34.56</v>
      </c>
      <c r="K145">
        <v>7</v>
      </c>
      <c r="L145">
        <v>12.096</v>
      </c>
      <c r="M145">
        <v>254.01599999999999</v>
      </c>
      <c r="N145" s="1">
        <v>43535</v>
      </c>
      <c r="O145" s="2">
        <v>0.67152777777777772</v>
      </c>
      <c r="P145" t="s">
        <v>32</v>
      </c>
      <c r="Q145">
        <v>241.92</v>
      </c>
      <c r="R145">
        <v>4.7619047620000003</v>
      </c>
      <c r="S145">
        <v>12.096</v>
      </c>
      <c r="T145">
        <v>7.3</v>
      </c>
    </row>
    <row r="146" spans="1:20" x14ac:dyDescent="0.3">
      <c r="A146">
        <v>746</v>
      </c>
      <c r="C146">
        <v>94</v>
      </c>
      <c r="D146">
        <v>204</v>
      </c>
      <c r="E146" t="s">
        <v>20</v>
      </c>
      <c r="F146" t="s">
        <v>21</v>
      </c>
      <c r="G146" t="s">
        <v>28</v>
      </c>
      <c r="H146" t="s">
        <v>38</v>
      </c>
      <c r="I146" t="s">
        <v>37</v>
      </c>
      <c r="J146">
        <v>83.24</v>
      </c>
      <c r="K146">
        <v>9</v>
      </c>
      <c r="L146">
        <v>37.457999999999998</v>
      </c>
      <c r="M146">
        <v>786.61800000000005</v>
      </c>
      <c r="N146" s="1">
        <v>43494</v>
      </c>
      <c r="O146" s="2">
        <v>0.49722222222222223</v>
      </c>
      <c r="P146" t="s">
        <v>32</v>
      </c>
      <c r="Q146">
        <v>749.16</v>
      </c>
      <c r="R146">
        <v>4.7619047620000003</v>
      </c>
      <c r="S146">
        <v>37.457999999999998</v>
      </c>
      <c r="T146">
        <v>7.4</v>
      </c>
    </row>
    <row r="147" spans="1:20" x14ac:dyDescent="0.3">
      <c r="A147">
        <v>214</v>
      </c>
      <c r="C147">
        <v>17</v>
      </c>
      <c r="D147">
        <v>6927</v>
      </c>
      <c r="E147" t="s">
        <v>26</v>
      </c>
      <c r="F147" t="s">
        <v>27</v>
      </c>
      <c r="G147" t="s">
        <v>28</v>
      </c>
      <c r="H147" t="s">
        <v>23</v>
      </c>
      <c r="I147" t="s">
        <v>36</v>
      </c>
      <c r="J147">
        <v>16.48</v>
      </c>
      <c r="K147">
        <v>6</v>
      </c>
      <c r="L147">
        <v>4.944</v>
      </c>
      <c r="M147">
        <v>103.824</v>
      </c>
      <c r="N147" s="1">
        <v>43503</v>
      </c>
      <c r="O147" s="2">
        <v>0.76597222222222228</v>
      </c>
      <c r="P147" t="s">
        <v>25</v>
      </c>
      <c r="Q147">
        <v>98.88</v>
      </c>
      <c r="R147">
        <v>4.7619047620000003</v>
      </c>
      <c r="S147">
        <v>4.944</v>
      </c>
      <c r="T147">
        <v>9.9</v>
      </c>
    </row>
    <row r="148" spans="1:20" x14ac:dyDescent="0.3">
      <c r="A148">
        <v>400</v>
      </c>
      <c r="C148">
        <v>89</v>
      </c>
      <c r="D148">
        <v>4171</v>
      </c>
      <c r="E148" t="s">
        <v>26</v>
      </c>
      <c r="F148" t="s">
        <v>27</v>
      </c>
      <c r="G148" t="s">
        <v>28</v>
      </c>
      <c r="H148" t="s">
        <v>23</v>
      </c>
      <c r="I148" t="s">
        <v>33</v>
      </c>
      <c r="J148">
        <v>80.97</v>
      </c>
      <c r="K148">
        <v>8</v>
      </c>
      <c r="L148">
        <v>32.387999999999998</v>
      </c>
      <c r="M148">
        <v>680.14800000000002</v>
      </c>
      <c r="N148" s="1">
        <v>43493</v>
      </c>
      <c r="O148" s="2">
        <v>0.54513888888888884</v>
      </c>
      <c r="P148" t="s">
        <v>30</v>
      </c>
      <c r="Q148">
        <v>647.76</v>
      </c>
      <c r="R148">
        <v>4.7619047620000003</v>
      </c>
      <c r="S148">
        <v>32.387999999999998</v>
      </c>
      <c r="T148">
        <v>9.3000000000000007</v>
      </c>
    </row>
    <row r="149" spans="1:20" x14ac:dyDescent="0.3">
      <c r="A149">
        <v>782</v>
      </c>
      <c r="C149">
        <v>95</v>
      </c>
      <c r="D149">
        <v>9291</v>
      </c>
      <c r="E149" t="s">
        <v>20</v>
      </c>
      <c r="F149" t="s">
        <v>21</v>
      </c>
      <c r="G149" t="s">
        <v>22</v>
      </c>
      <c r="H149" t="s">
        <v>38</v>
      </c>
      <c r="I149" t="s">
        <v>36</v>
      </c>
      <c r="J149">
        <v>92.29</v>
      </c>
      <c r="K149">
        <v>5</v>
      </c>
      <c r="L149">
        <v>23.072500000000002</v>
      </c>
      <c r="M149">
        <v>484.52249999999998</v>
      </c>
      <c r="N149" s="1">
        <v>43516</v>
      </c>
      <c r="O149" s="2">
        <v>0.66319444444444442</v>
      </c>
      <c r="P149" t="s">
        <v>32</v>
      </c>
      <c r="Q149">
        <v>461.45</v>
      </c>
      <c r="R149">
        <v>4.7619047620000003</v>
      </c>
      <c r="S149">
        <v>23.072500000000002</v>
      </c>
      <c r="T149">
        <v>9</v>
      </c>
    </row>
    <row r="150" spans="1:20" x14ac:dyDescent="0.3">
      <c r="A150">
        <v>279</v>
      </c>
      <c r="C150">
        <v>74</v>
      </c>
      <c r="D150">
        <v>2924</v>
      </c>
      <c r="E150" t="s">
        <v>34</v>
      </c>
      <c r="F150" t="s">
        <v>35</v>
      </c>
      <c r="G150" t="s">
        <v>22</v>
      </c>
      <c r="H150" t="s">
        <v>38</v>
      </c>
      <c r="I150" t="s">
        <v>29</v>
      </c>
      <c r="J150">
        <v>72.17</v>
      </c>
      <c r="K150">
        <v>1</v>
      </c>
      <c r="L150">
        <v>3.6084999999999998</v>
      </c>
      <c r="M150">
        <v>75.778499999999994</v>
      </c>
      <c r="N150" s="1">
        <v>43469</v>
      </c>
      <c r="O150" s="2">
        <v>0.81944444444444442</v>
      </c>
      <c r="P150" t="s">
        <v>30</v>
      </c>
      <c r="Q150">
        <v>72.17</v>
      </c>
      <c r="R150">
        <v>4.7619047620000003</v>
      </c>
      <c r="S150">
        <v>3.6084999999999998</v>
      </c>
      <c r="T150">
        <v>6.1</v>
      </c>
    </row>
    <row r="151" spans="1:20" x14ac:dyDescent="0.3">
      <c r="A151">
        <v>307</v>
      </c>
      <c r="C151">
        <v>85</v>
      </c>
      <c r="D151">
        <v>2293</v>
      </c>
      <c r="E151" t="s">
        <v>34</v>
      </c>
      <c r="F151" t="s">
        <v>35</v>
      </c>
      <c r="G151" t="s">
        <v>28</v>
      </c>
      <c r="H151" t="s">
        <v>38</v>
      </c>
      <c r="I151" t="s">
        <v>31</v>
      </c>
      <c r="J151">
        <v>50.28</v>
      </c>
      <c r="K151">
        <v>5</v>
      </c>
      <c r="L151">
        <v>12.57</v>
      </c>
      <c r="M151">
        <v>263.97000000000003</v>
      </c>
      <c r="N151" s="1">
        <v>43531</v>
      </c>
      <c r="O151" s="2">
        <v>0.58194444444444449</v>
      </c>
      <c r="P151" t="s">
        <v>25</v>
      </c>
      <c r="Q151">
        <v>251.4</v>
      </c>
      <c r="R151">
        <v>4.7619047620000003</v>
      </c>
      <c r="S151">
        <v>12.57</v>
      </c>
      <c r="T151">
        <v>9.6999999999999993</v>
      </c>
    </row>
    <row r="152" spans="1:20" x14ac:dyDescent="0.3">
      <c r="A152">
        <v>743</v>
      </c>
      <c r="C152">
        <v>4</v>
      </c>
      <c r="D152">
        <v>1105</v>
      </c>
      <c r="E152" t="s">
        <v>34</v>
      </c>
      <c r="F152" t="s">
        <v>35</v>
      </c>
      <c r="G152" t="s">
        <v>22</v>
      </c>
      <c r="H152" t="s">
        <v>38</v>
      </c>
      <c r="I152" t="s">
        <v>24</v>
      </c>
      <c r="J152">
        <v>97.22</v>
      </c>
      <c r="K152">
        <v>9</v>
      </c>
      <c r="L152">
        <v>43.749000000000002</v>
      </c>
      <c r="M152">
        <v>918.72900000000004</v>
      </c>
      <c r="N152" s="1">
        <v>43554</v>
      </c>
      <c r="O152" s="2">
        <v>0.61319444444444449</v>
      </c>
      <c r="P152" t="s">
        <v>25</v>
      </c>
      <c r="Q152">
        <v>874.98</v>
      </c>
      <c r="R152">
        <v>4.7619047620000003</v>
      </c>
      <c r="S152">
        <v>43.749000000000002</v>
      </c>
      <c r="T152">
        <v>6</v>
      </c>
    </row>
    <row r="153" spans="1:20" x14ac:dyDescent="0.3">
      <c r="A153">
        <v>423</v>
      </c>
      <c r="C153">
        <v>57</v>
      </c>
      <c r="D153">
        <v>2993</v>
      </c>
      <c r="E153" t="s">
        <v>34</v>
      </c>
      <c r="F153" t="s">
        <v>35</v>
      </c>
      <c r="G153" t="s">
        <v>28</v>
      </c>
      <c r="H153" t="s">
        <v>38</v>
      </c>
      <c r="I153" t="s">
        <v>33</v>
      </c>
      <c r="J153">
        <v>93.39</v>
      </c>
      <c r="K153">
        <v>6</v>
      </c>
      <c r="L153">
        <v>28.016999999999999</v>
      </c>
      <c r="M153">
        <v>588.35699999999997</v>
      </c>
      <c r="N153" s="1">
        <v>43551</v>
      </c>
      <c r="O153" s="2">
        <v>0.8041666666666667</v>
      </c>
      <c r="P153" t="s">
        <v>25</v>
      </c>
      <c r="Q153">
        <v>560.34</v>
      </c>
      <c r="R153">
        <v>4.7619047620000003</v>
      </c>
      <c r="S153">
        <v>28.016999999999999</v>
      </c>
      <c r="T153">
        <v>10</v>
      </c>
    </row>
    <row r="154" spans="1:20" x14ac:dyDescent="0.3">
      <c r="A154">
        <v>894</v>
      </c>
      <c r="C154">
        <v>41</v>
      </c>
      <c r="D154">
        <v>5205</v>
      </c>
      <c r="E154" t="s">
        <v>26</v>
      </c>
      <c r="F154" t="s">
        <v>27</v>
      </c>
      <c r="G154" t="s">
        <v>28</v>
      </c>
      <c r="H154" t="s">
        <v>23</v>
      </c>
      <c r="I154" t="s">
        <v>36</v>
      </c>
      <c r="J154">
        <v>43.18</v>
      </c>
      <c r="K154">
        <v>8</v>
      </c>
      <c r="L154">
        <v>17.271999999999998</v>
      </c>
      <c r="M154">
        <v>362.71199999999999</v>
      </c>
      <c r="N154" s="1">
        <v>43484</v>
      </c>
      <c r="O154" s="2">
        <v>0.81874999999999998</v>
      </c>
      <c r="P154" t="s">
        <v>32</v>
      </c>
      <c r="Q154">
        <v>345.44</v>
      </c>
      <c r="R154">
        <v>4.7619047620000003</v>
      </c>
      <c r="S154">
        <v>17.271999999999998</v>
      </c>
      <c r="T154">
        <v>8.3000000000000007</v>
      </c>
    </row>
    <row r="155" spans="1:20" x14ac:dyDescent="0.3">
      <c r="A155">
        <v>275</v>
      </c>
      <c r="C155">
        <v>28</v>
      </c>
      <c r="D155">
        <v>149</v>
      </c>
      <c r="E155" t="s">
        <v>20</v>
      </c>
      <c r="F155" t="s">
        <v>21</v>
      </c>
      <c r="G155" t="s">
        <v>28</v>
      </c>
      <c r="H155" t="s">
        <v>38</v>
      </c>
      <c r="I155" t="s">
        <v>33</v>
      </c>
      <c r="J155">
        <v>63.69</v>
      </c>
      <c r="K155">
        <v>1</v>
      </c>
      <c r="L155">
        <v>3.1844999999999999</v>
      </c>
      <c r="M155">
        <v>66.874499999999998</v>
      </c>
      <c r="N155" s="1">
        <v>43521</v>
      </c>
      <c r="O155" s="2">
        <v>0.68125000000000002</v>
      </c>
      <c r="P155" t="s">
        <v>30</v>
      </c>
      <c r="Q155">
        <v>63.69</v>
      </c>
      <c r="R155">
        <v>4.7619047620000003</v>
      </c>
      <c r="S155">
        <v>3.1844999999999999</v>
      </c>
      <c r="T155">
        <v>6</v>
      </c>
    </row>
    <row r="156" spans="1:20" x14ac:dyDescent="0.3">
      <c r="A156">
        <v>423</v>
      </c>
      <c r="C156">
        <v>80</v>
      </c>
      <c r="D156">
        <v>988</v>
      </c>
      <c r="E156" t="s">
        <v>26</v>
      </c>
      <c r="F156" t="s">
        <v>27</v>
      </c>
      <c r="G156" t="s">
        <v>28</v>
      </c>
      <c r="H156" t="s">
        <v>38</v>
      </c>
      <c r="I156" t="s">
        <v>33</v>
      </c>
      <c r="J156">
        <v>76.400000000000006</v>
      </c>
      <c r="K156">
        <v>2</v>
      </c>
      <c r="L156">
        <v>7.64</v>
      </c>
      <c r="M156">
        <v>160.44</v>
      </c>
      <c r="N156" s="1">
        <v>43495</v>
      </c>
      <c r="O156" s="2">
        <v>0.8208333333333333</v>
      </c>
      <c r="P156" t="s">
        <v>25</v>
      </c>
      <c r="Q156">
        <v>152.80000000000001</v>
      </c>
      <c r="R156">
        <v>4.7619047620000003</v>
      </c>
      <c r="S156">
        <v>7.64</v>
      </c>
      <c r="T156">
        <v>6.5</v>
      </c>
    </row>
    <row r="157" spans="1:20" x14ac:dyDescent="0.3">
      <c r="A157">
        <v>548</v>
      </c>
      <c r="C157">
        <v>46</v>
      </c>
      <c r="D157">
        <v>9322</v>
      </c>
      <c r="E157" t="s">
        <v>34</v>
      </c>
      <c r="F157" t="s">
        <v>35</v>
      </c>
      <c r="G157" t="s">
        <v>28</v>
      </c>
      <c r="H157" t="s">
        <v>38</v>
      </c>
      <c r="I157" t="s">
        <v>36</v>
      </c>
      <c r="J157">
        <v>39.9</v>
      </c>
      <c r="K157">
        <v>10</v>
      </c>
      <c r="L157">
        <v>19.95</v>
      </c>
      <c r="M157">
        <v>418.95</v>
      </c>
      <c r="N157" s="1">
        <v>43516</v>
      </c>
      <c r="O157" s="2">
        <v>0.64166666666666672</v>
      </c>
      <c r="P157" t="s">
        <v>32</v>
      </c>
      <c r="Q157">
        <v>399</v>
      </c>
      <c r="R157">
        <v>4.7619047620000003</v>
      </c>
      <c r="S157">
        <v>19.95</v>
      </c>
      <c r="T157">
        <v>5.9</v>
      </c>
    </row>
    <row r="158" spans="1:20" x14ac:dyDescent="0.3">
      <c r="A158">
        <v>505</v>
      </c>
      <c r="C158">
        <v>2</v>
      </c>
      <c r="D158">
        <v>892</v>
      </c>
      <c r="E158" t="s">
        <v>34</v>
      </c>
      <c r="F158" t="s">
        <v>35</v>
      </c>
      <c r="G158" t="s">
        <v>22</v>
      </c>
      <c r="H158" t="s">
        <v>38</v>
      </c>
      <c r="I158" t="s">
        <v>24</v>
      </c>
      <c r="J158">
        <v>42.57</v>
      </c>
      <c r="K158">
        <v>8</v>
      </c>
      <c r="L158">
        <v>17.027999999999999</v>
      </c>
      <c r="M158">
        <v>357.58800000000002</v>
      </c>
      <c r="N158" s="1">
        <v>43521</v>
      </c>
      <c r="O158" s="2">
        <v>0.59166666666666667</v>
      </c>
      <c r="P158" t="s">
        <v>25</v>
      </c>
      <c r="Q158">
        <v>340.56</v>
      </c>
      <c r="R158">
        <v>4.7619047620000003</v>
      </c>
      <c r="S158">
        <v>17.027999999999999</v>
      </c>
      <c r="T158">
        <v>5.6</v>
      </c>
    </row>
    <row r="159" spans="1:20" x14ac:dyDescent="0.3">
      <c r="A159">
        <v>234</v>
      </c>
      <c r="C159">
        <v>65</v>
      </c>
      <c r="D159">
        <v>2137</v>
      </c>
      <c r="E159" t="s">
        <v>26</v>
      </c>
      <c r="F159" t="s">
        <v>27</v>
      </c>
      <c r="G159" t="s">
        <v>28</v>
      </c>
      <c r="H159" t="s">
        <v>38</v>
      </c>
      <c r="I159" t="s">
        <v>31</v>
      </c>
      <c r="J159">
        <v>95.58</v>
      </c>
      <c r="K159">
        <v>10</v>
      </c>
      <c r="L159">
        <v>47.79</v>
      </c>
      <c r="M159">
        <v>1003.59</v>
      </c>
      <c r="N159" s="1">
        <v>43481</v>
      </c>
      <c r="O159" s="2">
        <v>0.56388888888888888</v>
      </c>
      <c r="P159" t="s">
        <v>30</v>
      </c>
      <c r="Q159">
        <v>955.8</v>
      </c>
      <c r="R159">
        <v>4.7619047620000003</v>
      </c>
      <c r="S159">
        <v>47.79</v>
      </c>
      <c r="T159">
        <v>4.8</v>
      </c>
    </row>
    <row r="160" spans="1:20" x14ac:dyDescent="0.3">
      <c r="A160">
        <v>687</v>
      </c>
      <c r="C160">
        <v>47</v>
      </c>
      <c r="D160">
        <v>8271</v>
      </c>
      <c r="E160" t="s">
        <v>20</v>
      </c>
      <c r="F160" t="s">
        <v>21</v>
      </c>
      <c r="G160" t="s">
        <v>28</v>
      </c>
      <c r="H160" t="s">
        <v>38</v>
      </c>
      <c r="I160" t="s">
        <v>37</v>
      </c>
      <c r="J160">
        <v>98.98</v>
      </c>
      <c r="K160">
        <v>10</v>
      </c>
      <c r="L160">
        <v>49.49</v>
      </c>
      <c r="M160">
        <v>1039.29</v>
      </c>
      <c r="N160" s="1">
        <v>43504</v>
      </c>
      <c r="O160" s="2">
        <v>0.68055555555555558</v>
      </c>
      <c r="P160" t="s">
        <v>32</v>
      </c>
      <c r="Q160">
        <v>989.8</v>
      </c>
      <c r="R160">
        <v>4.7619047620000003</v>
      </c>
      <c r="S160">
        <v>49.49</v>
      </c>
      <c r="T160">
        <v>8.6999999999999993</v>
      </c>
    </row>
    <row r="161" spans="1:20" x14ac:dyDescent="0.3">
      <c r="A161">
        <v>796</v>
      </c>
      <c r="C161">
        <v>32</v>
      </c>
      <c r="D161">
        <v>9050</v>
      </c>
      <c r="E161" t="s">
        <v>20</v>
      </c>
      <c r="F161" t="s">
        <v>21</v>
      </c>
      <c r="G161" t="s">
        <v>28</v>
      </c>
      <c r="H161" t="s">
        <v>38</v>
      </c>
      <c r="I161" t="s">
        <v>36</v>
      </c>
      <c r="J161">
        <v>51.28</v>
      </c>
      <c r="K161">
        <v>6</v>
      </c>
      <c r="L161">
        <v>15.384</v>
      </c>
      <c r="M161">
        <v>323.06400000000002</v>
      </c>
      <c r="N161" s="1">
        <v>43484</v>
      </c>
      <c r="O161" s="2">
        <v>0.68819444444444444</v>
      </c>
      <c r="P161" t="s">
        <v>30</v>
      </c>
      <c r="Q161">
        <v>307.68</v>
      </c>
      <c r="R161">
        <v>4.7619047620000003</v>
      </c>
      <c r="S161">
        <v>15.384</v>
      </c>
      <c r="T161">
        <v>6.5</v>
      </c>
    </row>
    <row r="162" spans="1:20" x14ac:dyDescent="0.3">
      <c r="A162">
        <v>105</v>
      </c>
      <c r="C162">
        <v>31</v>
      </c>
      <c r="D162">
        <v>1824</v>
      </c>
      <c r="E162" t="s">
        <v>20</v>
      </c>
      <c r="F162" t="s">
        <v>21</v>
      </c>
      <c r="G162" t="s">
        <v>22</v>
      </c>
      <c r="H162" t="s">
        <v>38</v>
      </c>
      <c r="I162" t="s">
        <v>33</v>
      </c>
      <c r="J162">
        <v>69.52</v>
      </c>
      <c r="K162">
        <v>7</v>
      </c>
      <c r="L162">
        <v>24.332000000000001</v>
      </c>
      <c r="M162">
        <v>510.97199999999998</v>
      </c>
      <c r="N162" s="1">
        <v>43497</v>
      </c>
      <c r="O162" s="2">
        <v>0.63194444444444442</v>
      </c>
      <c r="P162" t="s">
        <v>32</v>
      </c>
      <c r="Q162">
        <v>486.64</v>
      </c>
      <c r="R162">
        <v>4.7619047620000003</v>
      </c>
      <c r="S162">
        <v>24.332000000000001</v>
      </c>
      <c r="T162">
        <v>8.5</v>
      </c>
    </row>
    <row r="163" spans="1:20" x14ac:dyDescent="0.3">
      <c r="A163">
        <v>249</v>
      </c>
      <c r="C163">
        <v>42</v>
      </c>
      <c r="D163">
        <v>3782</v>
      </c>
      <c r="E163" t="s">
        <v>20</v>
      </c>
      <c r="F163" t="s">
        <v>21</v>
      </c>
      <c r="G163" t="s">
        <v>28</v>
      </c>
      <c r="H163" t="s">
        <v>38</v>
      </c>
      <c r="I163" t="s">
        <v>24</v>
      </c>
      <c r="J163">
        <v>70.010000000000005</v>
      </c>
      <c r="K163">
        <v>5</v>
      </c>
      <c r="L163">
        <v>17.502500000000001</v>
      </c>
      <c r="M163">
        <v>367.55250000000001</v>
      </c>
      <c r="N163" s="1">
        <v>43468</v>
      </c>
      <c r="O163" s="2">
        <v>0.48333333333333334</v>
      </c>
      <c r="P163" t="s">
        <v>25</v>
      </c>
      <c r="Q163">
        <v>350.05</v>
      </c>
      <c r="R163">
        <v>4.7619047620000003</v>
      </c>
      <c r="S163">
        <v>17.502500000000001</v>
      </c>
      <c r="T163">
        <v>5.5</v>
      </c>
    </row>
    <row r="164" spans="1:20" x14ac:dyDescent="0.3">
      <c r="A164">
        <v>316</v>
      </c>
      <c r="C164">
        <v>55</v>
      </c>
      <c r="D164">
        <v>4634</v>
      </c>
      <c r="E164" t="s">
        <v>34</v>
      </c>
      <c r="F164" t="s">
        <v>35</v>
      </c>
      <c r="G164" t="s">
        <v>22</v>
      </c>
      <c r="H164" t="s">
        <v>38</v>
      </c>
      <c r="I164" t="s">
        <v>36</v>
      </c>
      <c r="J164">
        <v>80.05</v>
      </c>
      <c r="K164">
        <v>5</v>
      </c>
      <c r="L164">
        <v>20.012499999999999</v>
      </c>
      <c r="M164">
        <v>420.26249999999999</v>
      </c>
      <c r="N164" s="1">
        <v>43491</v>
      </c>
      <c r="O164" s="2">
        <v>0.53125</v>
      </c>
      <c r="P164" t="s">
        <v>32</v>
      </c>
      <c r="Q164">
        <v>400.25</v>
      </c>
      <c r="R164">
        <v>4.7619047620000003</v>
      </c>
      <c r="S164">
        <v>20.012499999999999</v>
      </c>
      <c r="T164">
        <v>9.4</v>
      </c>
    </row>
    <row r="165" spans="1:20" x14ac:dyDescent="0.3">
      <c r="A165">
        <v>733</v>
      </c>
      <c r="C165">
        <v>33</v>
      </c>
      <c r="D165">
        <v>4967</v>
      </c>
      <c r="E165" t="s">
        <v>26</v>
      </c>
      <c r="F165" t="s">
        <v>27</v>
      </c>
      <c r="G165" t="s">
        <v>28</v>
      </c>
      <c r="H165" t="s">
        <v>38</v>
      </c>
      <c r="I165" t="s">
        <v>29</v>
      </c>
      <c r="J165">
        <v>20.85</v>
      </c>
      <c r="K165">
        <v>8</v>
      </c>
      <c r="L165">
        <v>8.34</v>
      </c>
      <c r="M165">
        <v>175.14</v>
      </c>
      <c r="N165" s="1">
        <v>43527</v>
      </c>
      <c r="O165" s="2">
        <v>0.80347222222222225</v>
      </c>
      <c r="P165" t="s">
        <v>30</v>
      </c>
      <c r="Q165">
        <v>166.8</v>
      </c>
      <c r="R165">
        <v>4.7619047620000003</v>
      </c>
      <c r="S165">
        <v>8.34</v>
      </c>
      <c r="T165">
        <v>6.3</v>
      </c>
    </row>
    <row r="166" spans="1:20" x14ac:dyDescent="0.3">
      <c r="A166">
        <v>608</v>
      </c>
      <c r="C166">
        <v>27</v>
      </c>
      <c r="D166">
        <v>6295</v>
      </c>
      <c r="E166" t="s">
        <v>34</v>
      </c>
      <c r="F166" t="s">
        <v>35</v>
      </c>
      <c r="G166" t="s">
        <v>22</v>
      </c>
      <c r="H166" t="s">
        <v>38</v>
      </c>
      <c r="I166" t="s">
        <v>29</v>
      </c>
      <c r="J166">
        <v>52.89</v>
      </c>
      <c r="K166">
        <v>6</v>
      </c>
      <c r="L166">
        <v>15.867000000000001</v>
      </c>
      <c r="M166">
        <v>333.20699999999999</v>
      </c>
      <c r="N166" s="1">
        <v>43484</v>
      </c>
      <c r="O166" s="2">
        <v>0.7319444444444444</v>
      </c>
      <c r="P166" t="s">
        <v>32</v>
      </c>
      <c r="Q166">
        <v>317.33999999999997</v>
      </c>
      <c r="R166">
        <v>4.7619047620000003</v>
      </c>
      <c r="S166">
        <v>15.867000000000001</v>
      </c>
      <c r="T166">
        <v>9.8000000000000007</v>
      </c>
    </row>
    <row r="167" spans="1:20" x14ac:dyDescent="0.3">
      <c r="A167">
        <v>414</v>
      </c>
      <c r="C167">
        <v>12</v>
      </c>
      <c r="D167">
        <v>7047</v>
      </c>
      <c r="E167" t="s">
        <v>34</v>
      </c>
      <c r="F167" t="s">
        <v>35</v>
      </c>
      <c r="G167" t="s">
        <v>28</v>
      </c>
      <c r="H167" t="s">
        <v>38</v>
      </c>
      <c r="I167" t="s">
        <v>36</v>
      </c>
      <c r="J167">
        <v>19.79</v>
      </c>
      <c r="K167">
        <v>8</v>
      </c>
      <c r="L167">
        <v>7.9160000000000004</v>
      </c>
      <c r="M167">
        <v>166.23599999999999</v>
      </c>
      <c r="N167" s="1">
        <v>43483</v>
      </c>
      <c r="O167" s="2">
        <v>0.50277777777777777</v>
      </c>
      <c r="P167" t="s">
        <v>25</v>
      </c>
      <c r="Q167">
        <v>158.32</v>
      </c>
      <c r="R167">
        <v>4.7619047620000003</v>
      </c>
      <c r="S167">
        <v>7.9160000000000004</v>
      </c>
      <c r="T167">
        <v>8.6999999999999993</v>
      </c>
    </row>
    <row r="168" spans="1:20" x14ac:dyDescent="0.3">
      <c r="A168">
        <v>827</v>
      </c>
      <c r="C168">
        <v>26</v>
      </c>
      <c r="D168">
        <v>2100</v>
      </c>
      <c r="E168" t="s">
        <v>20</v>
      </c>
      <c r="F168" t="s">
        <v>21</v>
      </c>
      <c r="G168" t="s">
        <v>22</v>
      </c>
      <c r="H168" t="s">
        <v>38</v>
      </c>
      <c r="I168" t="s">
        <v>31</v>
      </c>
      <c r="J168">
        <v>33.840000000000003</v>
      </c>
      <c r="K168">
        <v>9</v>
      </c>
      <c r="L168">
        <v>15.228</v>
      </c>
      <c r="M168">
        <v>319.78800000000001</v>
      </c>
      <c r="N168" s="1">
        <v>43545</v>
      </c>
      <c r="O168" s="2">
        <v>0.68125000000000002</v>
      </c>
      <c r="P168" t="s">
        <v>25</v>
      </c>
      <c r="Q168">
        <v>304.56</v>
      </c>
      <c r="R168">
        <v>4.7619047620000003</v>
      </c>
      <c r="S168">
        <v>15.228</v>
      </c>
      <c r="T168">
        <v>8.8000000000000007</v>
      </c>
    </row>
    <row r="169" spans="1:20" x14ac:dyDescent="0.3">
      <c r="A169">
        <v>175</v>
      </c>
      <c r="C169">
        <v>54</v>
      </c>
      <c r="D169">
        <v>2529</v>
      </c>
      <c r="E169" t="s">
        <v>20</v>
      </c>
      <c r="F169" t="s">
        <v>21</v>
      </c>
      <c r="G169" t="s">
        <v>22</v>
      </c>
      <c r="H169" t="s">
        <v>38</v>
      </c>
      <c r="I169" t="s">
        <v>36</v>
      </c>
      <c r="J169">
        <v>22.17</v>
      </c>
      <c r="K169">
        <v>8</v>
      </c>
      <c r="L169">
        <v>8.8680000000000003</v>
      </c>
      <c r="M169">
        <v>186.22800000000001</v>
      </c>
      <c r="N169" s="1">
        <v>43527</v>
      </c>
      <c r="O169" s="2">
        <v>0.70902777777777781</v>
      </c>
      <c r="P169" t="s">
        <v>32</v>
      </c>
      <c r="Q169">
        <v>177.36</v>
      </c>
      <c r="R169">
        <v>4.7619047620000003</v>
      </c>
      <c r="S169">
        <v>8.8680000000000003</v>
      </c>
      <c r="T169">
        <v>9.6</v>
      </c>
    </row>
    <row r="170" spans="1:20" x14ac:dyDescent="0.3">
      <c r="A170">
        <v>139</v>
      </c>
      <c r="C170">
        <v>52</v>
      </c>
      <c r="D170">
        <v>2867</v>
      </c>
      <c r="E170" t="s">
        <v>26</v>
      </c>
      <c r="F170" t="s">
        <v>27</v>
      </c>
      <c r="G170" t="s">
        <v>28</v>
      </c>
      <c r="H170" t="s">
        <v>23</v>
      </c>
      <c r="I170" t="s">
        <v>37</v>
      </c>
      <c r="J170">
        <v>22.51</v>
      </c>
      <c r="K170">
        <v>7</v>
      </c>
      <c r="L170">
        <v>7.8784999999999998</v>
      </c>
      <c r="M170">
        <v>165.4485</v>
      </c>
      <c r="N170" s="1">
        <v>43509</v>
      </c>
      <c r="O170" s="2">
        <v>0.4513888888888889</v>
      </c>
      <c r="P170" t="s">
        <v>32</v>
      </c>
      <c r="Q170">
        <v>157.57</v>
      </c>
      <c r="R170">
        <v>4.7619047620000003</v>
      </c>
      <c r="S170">
        <v>7.8784999999999998</v>
      </c>
      <c r="T170">
        <v>4.8</v>
      </c>
    </row>
    <row r="171" spans="1:20" x14ac:dyDescent="0.3">
      <c r="A171">
        <v>407</v>
      </c>
      <c r="C171">
        <v>63</v>
      </c>
      <c r="D171">
        <v>8975</v>
      </c>
      <c r="E171" t="s">
        <v>20</v>
      </c>
      <c r="F171" t="s">
        <v>21</v>
      </c>
      <c r="G171" t="s">
        <v>28</v>
      </c>
      <c r="H171" t="s">
        <v>38</v>
      </c>
      <c r="I171" t="s">
        <v>36</v>
      </c>
      <c r="J171">
        <v>73.88</v>
      </c>
      <c r="K171">
        <v>6</v>
      </c>
      <c r="L171">
        <v>22.164000000000001</v>
      </c>
      <c r="M171">
        <v>465.44400000000002</v>
      </c>
      <c r="N171" s="1">
        <v>43547</v>
      </c>
      <c r="O171" s="2">
        <v>0.80277777777777781</v>
      </c>
      <c r="P171" t="s">
        <v>25</v>
      </c>
      <c r="Q171">
        <v>443.28</v>
      </c>
      <c r="R171">
        <v>4.7619047620000003</v>
      </c>
      <c r="S171">
        <v>22.164000000000001</v>
      </c>
      <c r="T171">
        <v>4.4000000000000004</v>
      </c>
    </row>
    <row r="172" spans="1:20" x14ac:dyDescent="0.3">
      <c r="A172">
        <v>342</v>
      </c>
      <c r="C172">
        <v>65</v>
      </c>
      <c r="D172">
        <v>4817</v>
      </c>
      <c r="E172" t="s">
        <v>26</v>
      </c>
      <c r="F172" t="s">
        <v>27</v>
      </c>
      <c r="G172" t="s">
        <v>22</v>
      </c>
      <c r="H172" t="s">
        <v>38</v>
      </c>
      <c r="I172" t="s">
        <v>24</v>
      </c>
      <c r="J172">
        <v>86.8</v>
      </c>
      <c r="K172">
        <v>3</v>
      </c>
      <c r="L172">
        <v>13.02</v>
      </c>
      <c r="M172">
        <v>273.42</v>
      </c>
      <c r="N172" s="1">
        <v>43493</v>
      </c>
      <c r="O172" s="2">
        <v>0.69930555555555551</v>
      </c>
      <c r="P172" t="s">
        <v>25</v>
      </c>
      <c r="Q172">
        <v>260.39999999999998</v>
      </c>
      <c r="R172">
        <v>4.7619047620000003</v>
      </c>
      <c r="S172">
        <v>13.02</v>
      </c>
      <c r="T172">
        <v>9.9</v>
      </c>
    </row>
    <row r="173" spans="1:20" x14ac:dyDescent="0.3">
      <c r="A173">
        <v>130</v>
      </c>
      <c r="C173">
        <v>98</v>
      </c>
      <c r="D173">
        <v>8941</v>
      </c>
      <c r="E173" t="s">
        <v>26</v>
      </c>
      <c r="F173" t="s">
        <v>27</v>
      </c>
      <c r="G173" t="s">
        <v>28</v>
      </c>
      <c r="H173" t="s">
        <v>38</v>
      </c>
      <c r="I173" t="s">
        <v>37</v>
      </c>
      <c r="J173">
        <v>64.260000000000005</v>
      </c>
      <c r="K173">
        <v>7</v>
      </c>
      <c r="L173">
        <v>22.491</v>
      </c>
      <c r="M173">
        <v>472.31099999999998</v>
      </c>
      <c r="N173" s="1">
        <v>43505</v>
      </c>
      <c r="O173" s="2">
        <v>0.41666666666666669</v>
      </c>
      <c r="P173" t="s">
        <v>30</v>
      </c>
      <c r="Q173">
        <v>449.82</v>
      </c>
      <c r="R173">
        <v>4.7619047620000003</v>
      </c>
      <c r="S173">
        <v>22.491</v>
      </c>
      <c r="T173">
        <v>5.7</v>
      </c>
    </row>
    <row r="174" spans="1:20" x14ac:dyDescent="0.3">
      <c r="A174">
        <v>434</v>
      </c>
      <c r="C174">
        <v>83</v>
      </c>
      <c r="D174">
        <v>9547</v>
      </c>
      <c r="E174" t="s">
        <v>26</v>
      </c>
      <c r="F174" t="s">
        <v>27</v>
      </c>
      <c r="G174" t="s">
        <v>22</v>
      </c>
      <c r="H174" t="s">
        <v>38</v>
      </c>
      <c r="I174" t="s">
        <v>36</v>
      </c>
      <c r="J174">
        <v>38.47</v>
      </c>
      <c r="K174">
        <v>8</v>
      </c>
      <c r="L174">
        <v>15.388</v>
      </c>
      <c r="M174">
        <v>323.14800000000002</v>
      </c>
      <c r="N174" s="1">
        <v>43488</v>
      </c>
      <c r="O174" s="2">
        <v>0.49375000000000002</v>
      </c>
      <c r="P174" t="s">
        <v>30</v>
      </c>
      <c r="Q174">
        <v>307.76</v>
      </c>
      <c r="R174">
        <v>4.7619047620000003</v>
      </c>
      <c r="S174">
        <v>15.388</v>
      </c>
      <c r="T174">
        <v>7.7</v>
      </c>
    </row>
    <row r="175" spans="1:20" x14ac:dyDescent="0.3">
      <c r="A175">
        <v>824</v>
      </c>
      <c r="C175">
        <v>88</v>
      </c>
      <c r="D175">
        <v>3614</v>
      </c>
      <c r="E175" t="s">
        <v>26</v>
      </c>
      <c r="F175" t="s">
        <v>27</v>
      </c>
      <c r="G175" t="s">
        <v>28</v>
      </c>
      <c r="H175" t="s">
        <v>38</v>
      </c>
      <c r="I175" t="s">
        <v>24</v>
      </c>
      <c r="J175">
        <v>34.31</v>
      </c>
      <c r="K175">
        <v>8</v>
      </c>
      <c r="L175">
        <v>13.724</v>
      </c>
      <c r="M175">
        <v>288.20400000000001</v>
      </c>
      <c r="N175" s="1">
        <v>43490</v>
      </c>
      <c r="O175" s="2">
        <v>0.625</v>
      </c>
      <c r="P175" t="s">
        <v>25</v>
      </c>
      <c r="Q175">
        <v>274.48</v>
      </c>
      <c r="R175">
        <v>4.7619047620000003</v>
      </c>
      <c r="S175">
        <v>13.724</v>
      </c>
      <c r="T175">
        <v>5.7</v>
      </c>
    </row>
    <row r="176" spans="1:20" x14ac:dyDescent="0.3">
      <c r="A176">
        <v>895</v>
      </c>
      <c r="C176">
        <v>66</v>
      </c>
      <c r="D176">
        <v>685</v>
      </c>
      <c r="E176" t="s">
        <v>34</v>
      </c>
      <c r="F176" t="s">
        <v>35</v>
      </c>
      <c r="G176" t="s">
        <v>22</v>
      </c>
      <c r="H176" t="s">
        <v>38</v>
      </c>
      <c r="I176" t="s">
        <v>36</v>
      </c>
      <c r="J176">
        <v>18.079999999999998</v>
      </c>
      <c r="K176">
        <v>3</v>
      </c>
      <c r="L176">
        <v>2.7120000000000002</v>
      </c>
      <c r="M176">
        <v>56.951999999999998</v>
      </c>
      <c r="N176" s="1">
        <v>43529</v>
      </c>
      <c r="O176" s="2">
        <v>0.82361111111111107</v>
      </c>
      <c r="P176" t="s">
        <v>25</v>
      </c>
      <c r="Q176">
        <v>54.24</v>
      </c>
      <c r="R176">
        <v>4.7619047620000003</v>
      </c>
      <c r="S176">
        <v>2.7120000000000002</v>
      </c>
      <c r="T176">
        <v>8</v>
      </c>
    </row>
    <row r="177" spans="1:20" x14ac:dyDescent="0.3">
      <c r="A177">
        <v>732</v>
      </c>
      <c r="C177">
        <v>4</v>
      </c>
      <c r="D177">
        <v>5373</v>
      </c>
      <c r="E177" t="s">
        <v>34</v>
      </c>
      <c r="F177" t="s">
        <v>35</v>
      </c>
      <c r="G177" t="s">
        <v>22</v>
      </c>
      <c r="H177" t="s">
        <v>38</v>
      </c>
      <c r="I177" t="s">
        <v>31</v>
      </c>
      <c r="J177">
        <v>46.47</v>
      </c>
      <c r="K177">
        <v>4</v>
      </c>
      <c r="L177">
        <v>9.2940000000000005</v>
      </c>
      <c r="M177">
        <v>195.17400000000001</v>
      </c>
      <c r="N177" s="1">
        <v>43504</v>
      </c>
      <c r="O177" s="2">
        <v>0.45347222222222222</v>
      </c>
      <c r="P177" t="s">
        <v>30</v>
      </c>
      <c r="Q177">
        <v>185.88</v>
      </c>
      <c r="R177">
        <v>4.7619047620000003</v>
      </c>
      <c r="S177">
        <v>9.2940000000000005</v>
      </c>
      <c r="T177">
        <v>7</v>
      </c>
    </row>
    <row r="178" spans="1:20" x14ac:dyDescent="0.3">
      <c r="A178">
        <v>400</v>
      </c>
      <c r="C178">
        <v>60</v>
      </c>
      <c r="D178">
        <v>7251</v>
      </c>
      <c r="E178" t="s">
        <v>20</v>
      </c>
      <c r="F178" t="s">
        <v>21</v>
      </c>
      <c r="G178" t="s">
        <v>28</v>
      </c>
      <c r="H178" t="s">
        <v>38</v>
      </c>
      <c r="I178" t="s">
        <v>31</v>
      </c>
      <c r="J178">
        <v>74.069999999999993</v>
      </c>
      <c r="K178">
        <v>1</v>
      </c>
      <c r="L178">
        <v>3.7035</v>
      </c>
      <c r="M178">
        <v>77.773499999999999</v>
      </c>
      <c r="N178" s="1">
        <v>43506</v>
      </c>
      <c r="O178" s="2">
        <v>0.53472222222222221</v>
      </c>
      <c r="P178" t="s">
        <v>25</v>
      </c>
      <c r="Q178">
        <v>74.069999999999993</v>
      </c>
      <c r="R178">
        <v>4.7619047620000003</v>
      </c>
      <c r="S178">
        <v>3.7035</v>
      </c>
      <c r="T178">
        <v>9.9</v>
      </c>
    </row>
    <row r="179" spans="1:20" x14ac:dyDescent="0.3">
      <c r="A179">
        <v>284</v>
      </c>
      <c r="C179">
        <v>34</v>
      </c>
      <c r="D179">
        <v>9626</v>
      </c>
      <c r="E179" t="s">
        <v>34</v>
      </c>
      <c r="F179" t="s">
        <v>35</v>
      </c>
      <c r="G179" t="s">
        <v>28</v>
      </c>
      <c r="H179" t="s">
        <v>23</v>
      </c>
      <c r="I179" t="s">
        <v>31</v>
      </c>
      <c r="J179">
        <v>77.040000000000006</v>
      </c>
      <c r="K179">
        <v>3</v>
      </c>
      <c r="L179">
        <v>11.555999999999999</v>
      </c>
      <c r="M179">
        <v>242.67599999999999</v>
      </c>
      <c r="N179" s="1">
        <v>43507</v>
      </c>
      <c r="O179" s="2">
        <v>0.44374999999999998</v>
      </c>
      <c r="P179" t="s">
        <v>32</v>
      </c>
      <c r="Q179">
        <v>231.12</v>
      </c>
      <c r="R179">
        <v>4.7619047620000003</v>
      </c>
      <c r="S179">
        <v>11.555999999999999</v>
      </c>
      <c r="T179">
        <v>7.2</v>
      </c>
    </row>
    <row r="180" spans="1:20" x14ac:dyDescent="0.3">
      <c r="A180">
        <v>437</v>
      </c>
      <c r="C180">
        <v>58</v>
      </c>
      <c r="D180">
        <v>8131</v>
      </c>
      <c r="E180" t="s">
        <v>34</v>
      </c>
      <c r="F180" t="s">
        <v>35</v>
      </c>
      <c r="G180" t="s">
        <v>28</v>
      </c>
      <c r="H180" t="s">
        <v>23</v>
      </c>
      <c r="I180" t="s">
        <v>37</v>
      </c>
      <c r="J180">
        <v>73.52</v>
      </c>
      <c r="K180">
        <v>2</v>
      </c>
      <c r="L180">
        <v>7.3520000000000003</v>
      </c>
      <c r="M180">
        <v>154.392</v>
      </c>
      <c r="N180" s="1">
        <v>43480</v>
      </c>
      <c r="O180" s="2">
        <v>0.57013888888888886</v>
      </c>
      <c r="P180" t="s">
        <v>25</v>
      </c>
      <c r="Q180">
        <v>147.04</v>
      </c>
      <c r="R180">
        <v>4.7619047620000003</v>
      </c>
      <c r="S180">
        <v>7.3520000000000003</v>
      </c>
      <c r="T180">
        <v>4.5999999999999996</v>
      </c>
    </row>
    <row r="181" spans="1:20" x14ac:dyDescent="0.3">
      <c r="A181">
        <v>286</v>
      </c>
      <c r="C181">
        <v>43</v>
      </c>
      <c r="D181">
        <v>6208</v>
      </c>
      <c r="E181" t="s">
        <v>26</v>
      </c>
      <c r="F181" t="s">
        <v>27</v>
      </c>
      <c r="G181" t="s">
        <v>28</v>
      </c>
      <c r="H181" t="s">
        <v>23</v>
      </c>
      <c r="I181" t="s">
        <v>36</v>
      </c>
      <c r="J181">
        <v>87.8</v>
      </c>
      <c r="K181">
        <v>9</v>
      </c>
      <c r="L181">
        <v>39.51</v>
      </c>
      <c r="M181">
        <v>829.71</v>
      </c>
      <c r="N181" s="1">
        <v>43540</v>
      </c>
      <c r="O181" s="2">
        <v>0.79722222222222228</v>
      </c>
      <c r="P181" t="s">
        <v>30</v>
      </c>
      <c r="Q181">
        <v>790.2</v>
      </c>
      <c r="R181">
        <v>4.7619047620000003</v>
      </c>
      <c r="S181">
        <v>39.51</v>
      </c>
      <c r="T181">
        <v>9.1999999999999993</v>
      </c>
    </row>
    <row r="182" spans="1:20" x14ac:dyDescent="0.3">
      <c r="A182">
        <v>641</v>
      </c>
      <c r="C182">
        <v>43</v>
      </c>
      <c r="D182">
        <v>2399</v>
      </c>
      <c r="E182" t="s">
        <v>34</v>
      </c>
      <c r="F182" t="s">
        <v>35</v>
      </c>
      <c r="G182" t="s">
        <v>28</v>
      </c>
      <c r="H182" t="s">
        <v>38</v>
      </c>
      <c r="I182" t="s">
        <v>31</v>
      </c>
      <c r="J182">
        <v>25.55</v>
      </c>
      <c r="K182">
        <v>4</v>
      </c>
      <c r="L182">
        <v>5.1100000000000003</v>
      </c>
      <c r="M182">
        <v>107.31</v>
      </c>
      <c r="N182" s="1">
        <v>43491</v>
      </c>
      <c r="O182" s="2">
        <v>0.84930555555555554</v>
      </c>
      <c r="P182" t="s">
        <v>25</v>
      </c>
      <c r="Q182">
        <v>102.2</v>
      </c>
      <c r="R182">
        <v>4.7619047620000003</v>
      </c>
      <c r="S182">
        <v>5.1100000000000003</v>
      </c>
      <c r="T182">
        <v>5.7</v>
      </c>
    </row>
    <row r="183" spans="1:20" x14ac:dyDescent="0.3">
      <c r="A183">
        <v>831</v>
      </c>
      <c r="C183">
        <v>7</v>
      </c>
      <c r="D183">
        <v>6050</v>
      </c>
      <c r="E183" t="s">
        <v>20</v>
      </c>
      <c r="F183" t="s">
        <v>21</v>
      </c>
      <c r="G183" t="s">
        <v>28</v>
      </c>
      <c r="H183" t="s">
        <v>38</v>
      </c>
      <c r="I183" t="s">
        <v>29</v>
      </c>
      <c r="J183">
        <v>32.71</v>
      </c>
      <c r="K183">
        <v>5</v>
      </c>
      <c r="L183">
        <v>8.1775000000000002</v>
      </c>
      <c r="M183">
        <v>171.72749999999999</v>
      </c>
      <c r="N183" s="1">
        <v>43543</v>
      </c>
      <c r="O183" s="2">
        <v>0.47916666666666669</v>
      </c>
      <c r="P183" t="s">
        <v>32</v>
      </c>
      <c r="Q183">
        <v>163.55000000000001</v>
      </c>
      <c r="R183">
        <v>4.7619047620000003</v>
      </c>
      <c r="S183">
        <v>8.1775000000000002</v>
      </c>
      <c r="T183">
        <v>9.9</v>
      </c>
    </row>
    <row r="184" spans="1:20" x14ac:dyDescent="0.3">
      <c r="A184">
        <v>556</v>
      </c>
      <c r="C184">
        <v>86</v>
      </c>
      <c r="D184">
        <v>3144</v>
      </c>
      <c r="E184" t="s">
        <v>26</v>
      </c>
      <c r="F184" t="s">
        <v>27</v>
      </c>
      <c r="G184" t="s">
        <v>22</v>
      </c>
      <c r="H184" t="s">
        <v>23</v>
      </c>
      <c r="I184" t="s">
        <v>37</v>
      </c>
      <c r="J184">
        <v>74.290000000000006</v>
      </c>
      <c r="K184">
        <v>1</v>
      </c>
      <c r="L184">
        <v>3.7145000000000001</v>
      </c>
      <c r="M184">
        <v>78.004499999999993</v>
      </c>
      <c r="N184" s="1">
        <v>43478</v>
      </c>
      <c r="O184" s="2">
        <v>0.8125</v>
      </c>
      <c r="P184" t="s">
        <v>30</v>
      </c>
      <c r="Q184">
        <v>74.290000000000006</v>
      </c>
      <c r="R184">
        <v>4.7619047620000003</v>
      </c>
      <c r="S184">
        <v>3.7145000000000001</v>
      </c>
      <c r="T184">
        <v>5</v>
      </c>
    </row>
    <row r="185" spans="1:20" x14ac:dyDescent="0.3">
      <c r="A185">
        <v>848</v>
      </c>
      <c r="C185">
        <v>24</v>
      </c>
      <c r="D185">
        <v>9445</v>
      </c>
      <c r="E185" t="s">
        <v>26</v>
      </c>
      <c r="F185" t="s">
        <v>27</v>
      </c>
      <c r="G185" t="s">
        <v>22</v>
      </c>
      <c r="H185" t="s">
        <v>38</v>
      </c>
      <c r="I185" t="s">
        <v>24</v>
      </c>
      <c r="J185">
        <v>43.7</v>
      </c>
      <c r="K185">
        <v>2</v>
      </c>
      <c r="L185">
        <v>4.37</v>
      </c>
      <c r="M185">
        <v>91.77</v>
      </c>
      <c r="N185" s="1">
        <v>43550</v>
      </c>
      <c r="O185" s="2">
        <v>0.75208333333333333</v>
      </c>
      <c r="P185" t="s">
        <v>30</v>
      </c>
      <c r="Q185">
        <v>87.4</v>
      </c>
      <c r="R185">
        <v>4.7619047620000003</v>
      </c>
      <c r="S185">
        <v>4.37</v>
      </c>
      <c r="T185">
        <v>4.9000000000000004</v>
      </c>
    </row>
    <row r="186" spans="1:20" x14ac:dyDescent="0.3">
      <c r="A186">
        <v>856</v>
      </c>
      <c r="C186">
        <v>22</v>
      </c>
      <c r="D186">
        <v>8149</v>
      </c>
      <c r="E186" t="s">
        <v>20</v>
      </c>
      <c r="F186" t="s">
        <v>21</v>
      </c>
      <c r="G186" t="s">
        <v>28</v>
      </c>
      <c r="H186" t="s">
        <v>23</v>
      </c>
      <c r="I186" t="s">
        <v>31</v>
      </c>
      <c r="J186">
        <v>25.29</v>
      </c>
      <c r="K186">
        <v>1</v>
      </c>
      <c r="L186">
        <v>1.2645</v>
      </c>
      <c r="M186">
        <v>26.554500000000001</v>
      </c>
      <c r="N186" s="1">
        <v>43547</v>
      </c>
      <c r="O186" s="2">
        <v>0.42569444444444443</v>
      </c>
      <c r="P186" t="s">
        <v>25</v>
      </c>
      <c r="Q186">
        <v>25.29</v>
      </c>
      <c r="R186">
        <v>4.7619047620000003</v>
      </c>
      <c r="S186">
        <v>1.2645</v>
      </c>
      <c r="T186">
        <v>6.1</v>
      </c>
    </row>
    <row r="187" spans="1:20" x14ac:dyDescent="0.3">
      <c r="A187">
        <v>699</v>
      </c>
      <c r="C187">
        <v>1</v>
      </c>
      <c r="D187">
        <v>4164</v>
      </c>
      <c r="E187" t="s">
        <v>26</v>
      </c>
      <c r="F187" t="s">
        <v>27</v>
      </c>
      <c r="G187" t="s">
        <v>28</v>
      </c>
      <c r="H187" t="s">
        <v>38</v>
      </c>
      <c r="I187" t="s">
        <v>24</v>
      </c>
      <c r="J187">
        <v>41.5</v>
      </c>
      <c r="K187">
        <v>4</v>
      </c>
      <c r="L187">
        <v>8.3000000000000007</v>
      </c>
      <c r="M187">
        <v>174.3</v>
      </c>
      <c r="N187" s="1">
        <v>43536</v>
      </c>
      <c r="O187" s="2">
        <v>0.83194444444444449</v>
      </c>
      <c r="P187" t="s">
        <v>32</v>
      </c>
      <c r="Q187">
        <v>166</v>
      </c>
      <c r="R187">
        <v>4.7619047620000003</v>
      </c>
      <c r="S187">
        <v>8.3000000000000007</v>
      </c>
      <c r="T187">
        <v>8.1999999999999993</v>
      </c>
    </row>
    <row r="188" spans="1:20" x14ac:dyDescent="0.3">
      <c r="A188">
        <v>420</v>
      </c>
      <c r="C188">
        <v>11</v>
      </c>
      <c r="D188">
        <v>4919</v>
      </c>
      <c r="E188" t="s">
        <v>26</v>
      </c>
      <c r="F188" t="s">
        <v>27</v>
      </c>
      <c r="G188" t="s">
        <v>22</v>
      </c>
      <c r="H188" t="s">
        <v>23</v>
      </c>
      <c r="I188" t="s">
        <v>36</v>
      </c>
      <c r="J188">
        <v>71.39</v>
      </c>
      <c r="K188">
        <v>5</v>
      </c>
      <c r="L188">
        <v>17.8475</v>
      </c>
      <c r="M188">
        <v>374.79750000000001</v>
      </c>
      <c r="N188" s="1">
        <v>43513</v>
      </c>
      <c r="O188" s="2">
        <v>0.83125000000000004</v>
      </c>
      <c r="P188" t="s">
        <v>32</v>
      </c>
      <c r="Q188">
        <v>356.95</v>
      </c>
      <c r="R188">
        <v>4.7619047620000003</v>
      </c>
      <c r="S188">
        <v>17.8475</v>
      </c>
      <c r="T188">
        <v>5.5</v>
      </c>
    </row>
    <row r="189" spans="1:20" x14ac:dyDescent="0.3">
      <c r="A189">
        <v>606</v>
      </c>
      <c r="C189">
        <v>80</v>
      </c>
      <c r="D189">
        <v>4905</v>
      </c>
      <c r="E189" t="s">
        <v>26</v>
      </c>
      <c r="F189" t="s">
        <v>27</v>
      </c>
      <c r="G189" t="s">
        <v>22</v>
      </c>
      <c r="H189" t="s">
        <v>23</v>
      </c>
      <c r="I189" t="s">
        <v>33</v>
      </c>
      <c r="J189">
        <v>19.149999999999999</v>
      </c>
      <c r="K189">
        <v>6</v>
      </c>
      <c r="L189">
        <v>5.7450000000000001</v>
      </c>
      <c r="M189">
        <v>120.645</v>
      </c>
      <c r="N189" s="1">
        <v>43494</v>
      </c>
      <c r="O189" s="2">
        <v>0.41736111111111113</v>
      </c>
      <c r="P189" t="s">
        <v>32</v>
      </c>
      <c r="Q189">
        <v>114.9</v>
      </c>
      <c r="R189">
        <v>4.7619047620000003</v>
      </c>
      <c r="S189">
        <v>5.7450000000000001</v>
      </c>
      <c r="T189">
        <v>6.8</v>
      </c>
    </row>
    <row r="190" spans="1:20" x14ac:dyDescent="0.3">
      <c r="A190">
        <v>542</v>
      </c>
      <c r="C190">
        <v>41</v>
      </c>
      <c r="D190">
        <v>513</v>
      </c>
      <c r="E190" t="s">
        <v>34</v>
      </c>
      <c r="F190" t="s">
        <v>35</v>
      </c>
      <c r="G190" t="s">
        <v>22</v>
      </c>
      <c r="H190" t="s">
        <v>23</v>
      </c>
      <c r="I190" t="s">
        <v>29</v>
      </c>
      <c r="J190">
        <v>57.49</v>
      </c>
      <c r="K190">
        <v>4</v>
      </c>
      <c r="L190">
        <v>11.497999999999999</v>
      </c>
      <c r="M190">
        <v>241.458</v>
      </c>
      <c r="N190" s="1">
        <v>43539</v>
      </c>
      <c r="O190" s="2">
        <v>0.49791666666666667</v>
      </c>
      <c r="P190" t="s">
        <v>30</v>
      </c>
      <c r="Q190">
        <v>229.96</v>
      </c>
      <c r="R190">
        <v>4.7619047620000003</v>
      </c>
      <c r="S190">
        <v>11.497999999999999</v>
      </c>
      <c r="T190">
        <v>6.6</v>
      </c>
    </row>
    <row r="191" spans="1:20" x14ac:dyDescent="0.3">
      <c r="A191">
        <v>426</v>
      </c>
      <c r="C191">
        <v>39</v>
      </c>
      <c r="D191">
        <v>2418</v>
      </c>
      <c r="E191" t="s">
        <v>26</v>
      </c>
      <c r="F191" t="s">
        <v>27</v>
      </c>
      <c r="G191" t="s">
        <v>28</v>
      </c>
      <c r="H191" t="s">
        <v>38</v>
      </c>
      <c r="I191" t="s">
        <v>29</v>
      </c>
      <c r="J191">
        <v>61.41</v>
      </c>
      <c r="K191">
        <v>7</v>
      </c>
      <c r="L191">
        <v>21.493500000000001</v>
      </c>
      <c r="M191">
        <v>451.36349999999999</v>
      </c>
      <c r="N191" s="1">
        <v>43479</v>
      </c>
      <c r="O191" s="2">
        <v>0.41805555555555557</v>
      </c>
      <c r="P191" t="s">
        <v>30</v>
      </c>
      <c r="Q191">
        <v>429.87</v>
      </c>
      <c r="R191">
        <v>4.7619047620000003</v>
      </c>
      <c r="S191">
        <v>21.493500000000001</v>
      </c>
      <c r="T191">
        <v>9.8000000000000007</v>
      </c>
    </row>
    <row r="192" spans="1:20" x14ac:dyDescent="0.3">
      <c r="A192">
        <v>875</v>
      </c>
      <c r="C192">
        <v>46</v>
      </c>
      <c r="D192">
        <v>5808</v>
      </c>
      <c r="E192" t="s">
        <v>34</v>
      </c>
      <c r="F192" t="s">
        <v>35</v>
      </c>
      <c r="G192" t="s">
        <v>22</v>
      </c>
      <c r="H192" t="s">
        <v>38</v>
      </c>
      <c r="I192" t="s">
        <v>24</v>
      </c>
      <c r="J192">
        <v>25.9</v>
      </c>
      <c r="K192">
        <v>10</v>
      </c>
      <c r="L192">
        <v>12.95</v>
      </c>
      <c r="M192">
        <v>271.95</v>
      </c>
      <c r="N192" s="1">
        <v>43502</v>
      </c>
      <c r="O192" s="2">
        <v>0.61875000000000002</v>
      </c>
      <c r="P192" t="s">
        <v>25</v>
      </c>
      <c r="Q192">
        <v>259</v>
      </c>
      <c r="R192">
        <v>4.7619047620000003</v>
      </c>
      <c r="S192">
        <v>12.95</v>
      </c>
      <c r="T192">
        <v>8.6999999999999993</v>
      </c>
    </row>
    <row r="193" spans="1:20" x14ac:dyDescent="0.3">
      <c r="A193">
        <v>394</v>
      </c>
      <c r="C193">
        <v>43</v>
      </c>
      <c r="D193">
        <v>4238</v>
      </c>
      <c r="E193" t="s">
        <v>34</v>
      </c>
      <c r="F193" t="s">
        <v>35</v>
      </c>
      <c r="G193" t="s">
        <v>22</v>
      </c>
      <c r="H193" t="s">
        <v>38</v>
      </c>
      <c r="I193" t="s">
        <v>31</v>
      </c>
      <c r="J193">
        <v>17.77</v>
      </c>
      <c r="K193">
        <v>5</v>
      </c>
      <c r="L193">
        <v>4.4424999999999999</v>
      </c>
      <c r="M193">
        <v>93.292500000000004</v>
      </c>
      <c r="N193" s="1">
        <v>43511</v>
      </c>
      <c r="O193" s="2">
        <v>0.52916666666666667</v>
      </c>
      <c r="P193" t="s">
        <v>32</v>
      </c>
      <c r="Q193">
        <v>88.85</v>
      </c>
      <c r="R193">
        <v>4.7619047620000003</v>
      </c>
      <c r="S193">
        <v>4.4424999999999999</v>
      </c>
      <c r="T193">
        <v>5.4</v>
      </c>
    </row>
    <row r="194" spans="1:20" x14ac:dyDescent="0.3">
      <c r="A194">
        <v>749</v>
      </c>
      <c r="C194">
        <v>24</v>
      </c>
      <c r="D194">
        <v>1565</v>
      </c>
      <c r="E194" t="s">
        <v>20</v>
      </c>
      <c r="F194" t="s">
        <v>21</v>
      </c>
      <c r="G194" t="s">
        <v>28</v>
      </c>
      <c r="H194" t="s">
        <v>23</v>
      </c>
      <c r="I194" t="s">
        <v>24</v>
      </c>
      <c r="J194">
        <v>23.03</v>
      </c>
      <c r="K194">
        <v>9</v>
      </c>
      <c r="L194">
        <v>10.3635</v>
      </c>
      <c r="M194">
        <v>217.6335</v>
      </c>
      <c r="N194" s="1">
        <v>43468</v>
      </c>
      <c r="O194" s="2">
        <v>0.50138888888888888</v>
      </c>
      <c r="P194" t="s">
        <v>25</v>
      </c>
      <c r="Q194">
        <v>207.27</v>
      </c>
      <c r="R194">
        <v>4.7619047620000003</v>
      </c>
      <c r="S194">
        <v>10.3635</v>
      </c>
      <c r="T194">
        <v>7.9</v>
      </c>
    </row>
    <row r="195" spans="1:20" x14ac:dyDescent="0.3">
      <c r="A195">
        <v>672</v>
      </c>
      <c r="C195">
        <v>51</v>
      </c>
      <c r="D195">
        <v>8681</v>
      </c>
      <c r="E195" t="s">
        <v>26</v>
      </c>
      <c r="F195" t="s">
        <v>27</v>
      </c>
      <c r="G195" t="s">
        <v>22</v>
      </c>
      <c r="H195" t="s">
        <v>23</v>
      </c>
      <c r="I195" t="s">
        <v>29</v>
      </c>
      <c r="J195">
        <v>66.650000000000006</v>
      </c>
      <c r="K195">
        <v>9</v>
      </c>
      <c r="L195">
        <v>29.9925</v>
      </c>
      <c r="M195">
        <v>629.84249999999997</v>
      </c>
      <c r="N195" s="1">
        <v>43469</v>
      </c>
      <c r="O195" s="2">
        <v>0.7631944444444444</v>
      </c>
      <c r="P195" t="s">
        <v>32</v>
      </c>
      <c r="Q195">
        <v>599.85</v>
      </c>
      <c r="R195">
        <v>4.7619047620000003</v>
      </c>
      <c r="S195">
        <v>29.9925</v>
      </c>
      <c r="T195">
        <v>9.6999999999999993</v>
      </c>
    </row>
    <row r="196" spans="1:20" x14ac:dyDescent="0.3">
      <c r="A196">
        <v>263</v>
      </c>
      <c r="C196">
        <v>87</v>
      </c>
      <c r="D196">
        <v>5680</v>
      </c>
      <c r="E196" t="s">
        <v>26</v>
      </c>
      <c r="F196" t="s">
        <v>27</v>
      </c>
      <c r="G196" t="s">
        <v>22</v>
      </c>
      <c r="H196" t="s">
        <v>23</v>
      </c>
      <c r="I196" t="s">
        <v>31</v>
      </c>
      <c r="J196">
        <v>28.53</v>
      </c>
      <c r="K196">
        <v>10</v>
      </c>
      <c r="L196">
        <v>14.265000000000001</v>
      </c>
      <c r="M196">
        <v>299.565</v>
      </c>
      <c r="N196" s="1">
        <v>43542</v>
      </c>
      <c r="O196" s="2">
        <v>0.73472222222222228</v>
      </c>
      <c r="P196" t="s">
        <v>25</v>
      </c>
      <c r="Q196">
        <v>285.3</v>
      </c>
      <c r="R196">
        <v>4.7619047620000003</v>
      </c>
      <c r="S196">
        <v>14.265000000000001</v>
      </c>
      <c r="T196">
        <v>7.8</v>
      </c>
    </row>
    <row r="197" spans="1:20" x14ac:dyDescent="0.3">
      <c r="A197">
        <v>573</v>
      </c>
      <c r="C197">
        <v>58</v>
      </c>
      <c r="D197">
        <v>9734</v>
      </c>
      <c r="E197" t="s">
        <v>34</v>
      </c>
      <c r="F197" t="s">
        <v>35</v>
      </c>
      <c r="G197" t="s">
        <v>28</v>
      </c>
      <c r="H197" t="s">
        <v>23</v>
      </c>
      <c r="I197" t="s">
        <v>37</v>
      </c>
      <c r="J197">
        <v>30.37</v>
      </c>
      <c r="K197">
        <v>3</v>
      </c>
      <c r="L197">
        <v>4.5555000000000003</v>
      </c>
      <c r="M197">
        <v>95.665499999999994</v>
      </c>
      <c r="N197" s="1">
        <v>43552</v>
      </c>
      <c r="O197" s="2">
        <v>0.57013888888888886</v>
      </c>
      <c r="P197" t="s">
        <v>25</v>
      </c>
      <c r="Q197">
        <v>91.11</v>
      </c>
      <c r="R197">
        <v>4.7619047620000003</v>
      </c>
      <c r="S197">
        <v>4.5555000000000003</v>
      </c>
      <c r="T197">
        <v>5.0999999999999996</v>
      </c>
    </row>
    <row r="198" spans="1:20" x14ac:dyDescent="0.3">
      <c r="A198">
        <v>817</v>
      </c>
      <c r="C198">
        <v>69</v>
      </c>
      <c r="D198">
        <v>8206</v>
      </c>
      <c r="E198" t="s">
        <v>34</v>
      </c>
      <c r="F198" t="s">
        <v>35</v>
      </c>
      <c r="G198" t="s">
        <v>28</v>
      </c>
      <c r="H198" t="s">
        <v>23</v>
      </c>
      <c r="I198" t="s">
        <v>29</v>
      </c>
      <c r="J198">
        <v>99.73</v>
      </c>
      <c r="K198">
        <v>9</v>
      </c>
      <c r="L198">
        <v>44.878500000000003</v>
      </c>
      <c r="M198">
        <v>942.44849999999997</v>
      </c>
      <c r="N198" s="1">
        <v>43526</v>
      </c>
      <c r="O198" s="2">
        <v>0.8208333333333333</v>
      </c>
      <c r="P198" t="s">
        <v>32</v>
      </c>
      <c r="Q198">
        <v>897.57</v>
      </c>
      <c r="R198">
        <v>4.7619047620000003</v>
      </c>
      <c r="S198">
        <v>44.878500000000003</v>
      </c>
      <c r="T198">
        <v>6.5</v>
      </c>
    </row>
    <row r="199" spans="1:20" x14ac:dyDescent="0.3">
      <c r="A199">
        <v>888</v>
      </c>
      <c r="C199">
        <v>2</v>
      </c>
      <c r="D199">
        <v>338</v>
      </c>
      <c r="E199" t="s">
        <v>20</v>
      </c>
      <c r="F199" t="s">
        <v>21</v>
      </c>
      <c r="G199" t="s">
        <v>28</v>
      </c>
      <c r="H199" t="s">
        <v>38</v>
      </c>
      <c r="I199" t="s">
        <v>29</v>
      </c>
      <c r="J199">
        <v>26.23</v>
      </c>
      <c r="K199">
        <v>9</v>
      </c>
      <c r="L199">
        <v>11.8035</v>
      </c>
      <c r="M199">
        <v>247.87350000000001</v>
      </c>
      <c r="N199" s="1">
        <v>43490</v>
      </c>
      <c r="O199" s="2">
        <v>0.85</v>
      </c>
      <c r="P199" t="s">
        <v>25</v>
      </c>
      <c r="Q199">
        <v>236.07</v>
      </c>
      <c r="R199">
        <v>4.7619047620000003</v>
      </c>
      <c r="S199">
        <v>11.8035</v>
      </c>
      <c r="T199">
        <v>5.9</v>
      </c>
    </row>
    <row r="200" spans="1:20" x14ac:dyDescent="0.3">
      <c r="A200">
        <v>677</v>
      </c>
      <c r="C200">
        <v>11</v>
      </c>
      <c r="D200">
        <v>152</v>
      </c>
      <c r="E200" t="s">
        <v>26</v>
      </c>
      <c r="F200" t="s">
        <v>27</v>
      </c>
      <c r="G200" t="s">
        <v>28</v>
      </c>
      <c r="H200" t="s">
        <v>23</v>
      </c>
      <c r="I200" t="s">
        <v>36</v>
      </c>
      <c r="J200">
        <v>93.26</v>
      </c>
      <c r="K200">
        <v>9</v>
      </c>
      <c r="L200">
        <v>41.966999999999999</v>
      </c>
      <c r="M200">
        <v>881.30700000000002</v>
      </c>
      <c r="N200" s="1">
        <v>43481</v>
      </c>
      <c r="O200" s="2">
        <v>0.75555555555555554</v>
      </c>
      <c r="P200" t="s">
        <v>30</v>
      </c>
      <c r="Q200">
        <v>839.34</v>
      </c>
      <c r="R200">
        <v>4.7619047620000003</v>
      </c>
      <c r="S200">
        <v>41.966999999999999</v>
      </c>
      <c r="T200">
        <v>8.8000000000000007</v>
      </c>
    </row>
    <row r="201" spans="1:20" x14ac:dyDescent="0.3">
      <c r="A201">
        <v>142</v>
      </c>
      <c r="C201">
        <v>63</v>
      </c>
      <c r="D201">
        <v>6033</v>
      </c>
      <c r="E201" t="s">
        <v>34</v>
      </c>
      <c r="F201" t="s">
        <v>35</v>
      </c>
      <c r="G201" t="s">
        <v>28</v>
      </c>
      <c r="H201" t="s">
        <v>38</v>
      </c>
      <c r="I201" t="s">
        <v>31</v>
      </c>
      <c r="J201">
        <v>92.36</v>
      </c>
      <c r="K201">
        <v>5</v>
      </c>
      <c r="L201">
        <v>23.09</v>
      </c>
      <c r="M201">
        <v>484.89</v>
      </c>
      <c r="N201" s="1">
        <v>43544</v>
      </c>
      <c r="O201" s="2">
        <v>0.80347222222222225</v>
      </c>
      <c r="P201" t="s">
        <v>25</v>
      </c>
      <c r="Q201">
        <v>461.8</v>
      </c>
      <c r="R201">
        <v>4.7619047620000003</v>
      </c>
      <c r="S201">
        <v>23.09</v>
      </c>
      <c r="T201">
        <v>4.9000000000000004</v>
      </c>
    </row>
    <row r="202" spans="1:20" x14ac:dyDescent="0.3">
      <c r="A202">
        <v>891</v>
      </c>
      <c r="C202">
        <v>58</v>
      </c>
      <c r="D202">
        <v>8335</v>
      </c>
      <c r="E202" t="s">
        <v>34</v>
      </c>
      <c r="F202" t="s">
        <v>35</v>
      </c>
      <c r="G202" t="s">
        <v>22</v>
      </c>
      <c r="H202" t="s">
        <v>23</v>
      </c>
      <c r="I202" t="s">
        <v>33</v>
      </c>
      <c r="J202">
        <v>29.61</v>
      </c>
      <c r="K202">
        <v>7</v>
      </c>
      <c r="L202">
        <v>10.3635</v>
      </c>
      <c r="M202">
        <v>217.6335</v>
      </c>
      <c r="N202" s="1">
        <v>43535</v>
      </c>
      <c r="O202" s="2">
        <v>0.66180555555555554</v>
      </c>
      <c r="P202" t="s">
        <v>30</v>
      </c>
      <c r="Q202">
        <v>207.27</v>
      </c>
      <c r="R202">
        <v>4.7619047620000003</v>
      </c>
      <c r="S202">
        <v>10.3635</v>
      </c>
      <c r="T202">
        <v>6.5</v>
      </c>
    </row>
    <row r="203" spans="1:20" x14ac:dyDescent="0.3">
      <c r="A203">
        <v>802</v>
      </c>
      <c r="C203">
        <v>43</v>
      </c>
      <c r="D203">
        <v>8934</v>
      </c>
      <c r="E203" t="s">
        <v>20</v>
      </c>
      <c r="F203" t="s">
        <v>21</v>
      </c>
      <c r="G203" t="s">
        <v>28</v>
      </c>
      <c r="H203" t="s">
        <v>38</v>
      </c>
      <c r="I203" t="s">
        <v>31</v>
      </c>
      <c r="J203">
        <v>18.28</v>
      </c>
      <c r="K203">
        <v>1</v>
      </c>
      <c r="L203">
        <v>0.91400000000000003</v>
      </c>
      <c r="M203">
        <v>19.193999999999999</v>
      </c>
      <c r="N203" s="1">
        <v>43546</v>
      </c>
      <c r="O203" s="2">
        <v>0.62847222222222221</v>
      </c>
      <c r="P203" t="s">
        <v>32</v>
      </c>
      <c r="Q203">
        <v>18.28</v>
      </c>
      <c r="R203">
        <v>4.7619047620000003</v>
      </c>
      <c r="S203">
        <v>0.91400000000000003</v>
      </c>
      <c r="T203">
        <v>8.3000000000000007</v>
      </c>
    </row>
    <row r="204" spans="1:20" x14ac:dyDescent="0.3">
      <c r="A204">
        <v>560</v>
      </c>
      <c r="C204">
        <v>30</v>
      </c>
      <c r="D204">
        <v>5617</v>
      </c>
      <c r="E204" t="s">
        <v>34</v>
      </c>
      <c r="F204" t="s">
        <v>35</v>
      </c>
      <c r="G204" t="s">
        <v>28</v>
      </c>
      <c r="H204" t="s">
        <v>23</v>
      </c>
      <c r="I204" t="s">
        <v>33</v>
      </c>
      <c r="J204">
        <v>24.77</v>
      </c>
      <c r="K204">
        <v>5</v>
      </c>
      <c r="L204">
        <v>6.1924999999999999</v>
      </c>
      <c r="M204">
        <v>130.04249999999999</v>
      </c>
      <c r="N204" s="1">
        <v>43548</v>
      </c>
      <c r="O204" s="2">
        <v>0.76875000000000004</v>
      </c>
      <c r="P204" t="s">
        <v>30</v>
      </c>
      <c r="Q204">
        <v>123.85</v>
      </c>
      <c r="R204">
        <v>4.7619047620000003</v>
      </c>
      <c r="S204">
        <v>6.1924999999999999</v>
      </c>
      <c r="T204">
        <v>8.5</v>
      </c>
    </row>
    <row r="205" spans="1:20" x14ac:dyDescent="0.3">
      <c r="A205">
        <v>319</v>
      </c>
      <c r="C205">
        <v>74</v>
      </c>
      <c r="D205">
        <v>2561</v>
      </c>
      <c r="E205" t="s">
        <v>20</v>
      </c>
      <c r="F205" t="s">
        <v>21</v>
      </c>
      <c r="G205" t="s">
        <v>22</v>
      </c>
      <c r="H205" t="s">
        <v>23</v>
      </c>
      <c r="I205" t="s">
        <v>29</v>
      </c>
      <c r="J205">
        <v>94.64</v>
      </c>
      <c r="K205">
        <v>3</v>
      </c>
      <c r="L205">
        <v>14.196</v>
      </c>
      <c r="M205">
        <v>298.11599999999999</v>
      </c>
      <c r="N205" s="1">
        <v>43517</v>
      </c>
      <c r="O205" s="2">
        <v>0.70486111111111116</v>
      </c>
      <c r="P205" t="s">
        <v>30</v>
      </c>
      <c r="Q205">
        <v>283.92</v>
      </c>
      <c r="R205">
        <v>4.7619047620000003</v>
      </c>
      <c r="S205">
        <v>14.196</v>
      </c>
      <c r="T205">
        <v>5.5</v>
      </c>
    </row>
    <row r="206" spans="1:20" x14ac:dyDescent="0.3">
      <c r="A206">
        <v>549</v>
      </c>
      <c r="C206">
        <v>3</v>
      </c>
      <c r="D206">
        <v>9315</v>
      </c>
      <c r="E206" t="s">
        <v>34</v>
      </c>
      <c r="F206" t="s">
        <v>35</v>
      </c>
      <c r="G206" t="s">
        <v>28</v>
      </c>
      <c r="H206" t="s">
        <v>38</v>
      </c>
      <c r="I206" t="s">
        <v>37</v>
      </c>
      <c r="J206">
        <v>94.87</v>
      </c>
      <c r="K206">
        <v>8</v>
      </c>
      <c r="L206">
        <v>37.948</v>
      </c>
      <c r="M206">
        <v>796.90800000000002</v>
      </c>
      <c r="N206" s="1">
        <v>43508</v>
      </c>
      <c r="O206" s="2">
        <v>0.54027777777777775</v>
      </c>
      <c r="P206" t="s">
        <v>25</v>
      </c>
      <c r="Q206">
        <v>758.96</v>
      </c>
      <c r="R206">
        <v>4.7619047620000003</v>
      </c>
      <c r="S206">
        <v>37.948</v>
      </c>
      <c r="T206">
        <v>8.6999999999999993</v>
      </c>
    </row>
    <row r="207" spans="1:20" x14ac:dyDescent="0.3">
      <c r="A207">
        <v>790</v>
      </c>
      <c r="C207">
        <v>29</v>
      </c>
      <c r="D207">
        <v>1172</v>
      </c>
      <c r="E207" t="s">
        <v>34</v>
      </c>
      <c r="F207" t="s">
        <v>35</v>
      </c>
      <c r="G207" t="s">
        <v>28</v>
      </c>
      <c r="H207" t="s">
        <v>23</v>
      </c>
      <c r="I207" t="s">
        <v>36</v>
      </c>
      <c r="J207">
        <v>57.34</v>
      </c>
      <c r="K207">
        <v>3</v>
      </c>
      <c r="L207">
        <v>8.6010000000000009</v>
      </c>
      <c r="M207">
        <v>180.62100000000001</v>
      </c>
      <c r="N207" s="1">
        <v>43534</v>
      </c>
      <c r="O207" s="2">
        <v>0.79097222222222219</v>
      </c>
      <c r="P207" t="s">
        <v>32</v>
      </c>
      <c r="Q207">
        <v>172.02</v>
      </c>
      <c r="R207">
        <v>4.7619047620000003</v>
      </c>
      <c r="S207">
        <v>8.6010000000000009</v>
      </c>
      <c r="T207">
        <v>7.9</v>
      </c>
    </row>
    <row r="208" spans="1:20" x14ac:dyDescent="0.3">
      <c r="A208">
        <v>239</v>
      </c>
      <c r="C208">
        <v>36</v>
      </c>
      <c r="D208">
        <v>3640</v>
      </c>
      <c r="E208" t="s">
        <v>34</v>
      </c>
      <c r="F208" t="s">
        <v>35</v>
      </c>
      <c r="G208" t="s">
        <v>28</v>
      </c>
      <c r="H208" t="s">
        <v>38</v>
      </c>
      <c r="I208" t="s">
        <v>29</v>
      </c>
      <c r="J208">
        <v>45.35</v>
      </c>
      <c r="K208">
        <v>6</v>
      </c>
      <c r="L208">
        <v>13.605</v>
      </c>
      <c r="M208">
        <v>285.70499999999998</v>
      </c>
      <c r="N208" s="1">
        <v>43496</v>
      </c>
      <c r="O208" s="2">
        <v>0.57222222222222219</v>
      </c>
      <c r="P208" t="s">
        <v>25</v>
      </c>
      <c r="Q208">
        <v>272.10000000000002</v>
      </c>
      <c r="R208">
        <v>4.7619047620000003</v>
      </c>
      <c r="S208">
        <v>13.605</v>
      </c>
      <c r="T208">
        <v>6.1</v>
      </c>
    </row>
    <row r="209" spans="1:20" x14ac:dyDescent="0.3">
      <c r="A209">
        <v>468</v>
      </c>
      <c r="C209">
        <v>1</v>
      </c>
      <c r="D209">
        <v>2051</v>
      </c>
      <c r="E209" t="s">
        <v>34</v>
      </c>
      <c r="F209" t="s">
        <v>35</v>
      </c>
      <c r="G209" t="s">
        <v>28</v>
      </c>
      <c r="H209" t="s">
        <v>38</v>
      </c>
      <c r="I209" t="s">
        <v>36</v>
      </c>
      <c r="J209">
        <v>62.08</v>
      </c>
      <c r="K209">
        <v>7</v>
      </c>
      <c r="L209">
        <v>21.728000000000002</v>
      </c>
      <c r="M209">
        <v>456.28800000000001</v>
      </c>
      <c r="N209" s="1">
        <v>43530</v>
      </c>
      <c r="O209" s="2">
        <v>0.57361111111111107</v>
      </c>
      <c r="P209" t="s">
        <v>25</v>
      </c>
      <c r="Q209">
        <v>434.56</v>
      </c>
      <c r="R209">
        <v>4.7619047620000003</v>
      </c>
      <c r="S209">
        <v>21.728000000000002</v>
      </c>
      <c r="T209">
        <v>5.4</v>
      </c>
    </row>
    <row r="210" spans="1:20" x14ac:dyDescent="0.3">
      <c r="A210">
        <v>389</v>
      </c>
      <c r="C210">
        <v>25</v>
      </c>
      <c r="D210">
        <v>3394</v>
      </c>
      <c r="E210" t="s">
        <v>26</v>
      </c>
      <c r="F210" t="s">
        <v>27</v>
      </c>
      <c r="G210" t="s">
        <v>28</v>
      </c>
      <c r="H210" t="s">
        <v>38</v>
      </c>
      <c r="I210" t="s">
        <v>29</v>
      </c>
      <c r="J210">
        <v>11.81</v>
      </c>
      <c r="K210">
        <v>5</v>
      </c>
      <c r="L210">
        <v>2.9525000000000001</v>
      </c>
      <c r="M210">
        <v>62.002499999999998</v>
      </c>
      <c r="N210" s="1">
        <v>43513</v>
      </c>
      <c r="O210" s="2">
        <v>0.75416666666666665</v>
      </c>
      <c r="P210" t="s">
        <v>30</v>
      </c>
      <c r="Q210">
        <v>59.05</v>
      </c>
      <c r="R210">
        <v>4.7619047620000003</v>
      </c>
      <c r="S210">
        <v>2.9525000000000001</v>
      </c>
      <c r="T210">
        <v>9.4</v>
      </c>
    </row>
    <row r="211" spans="1:20" x14ac:dyDescent="0.3">
      <c r="A211">
        <v>279</v>
      </c>
      <c r="C211">
        <v>62</v>
      </c>
      <c r="D211">
        <v>1445</v>
      </c>
      <c r="E211" t="s">
        <v>26</v>
      </c>
      <c r="F211" t="s">
        <v>27</v>
      </c>
      <c r="G211" t="s">
        <v>22</v>
      </c>
      <c r="H211" t="s">
        <v>23</v>
      </c>
      <c r="I211" t="s">
        <v>37</v>
      </c>
      <c r="J211">
        <v>12.54</v>
      </c>
      <c r="K211">
        <v>1</v>
      </c>
      <c r="L211">
        <v>0.627</v>
      </c>
      <c r="M211">
        <v>13.167</v>
      </c>
      <c r="N211" s="1">
        <v>43517</v>
      </c>
      <c r="O211" s="2">
        <v>0.52638888888888891</v>
      </c>
      <c r="P211" t="s">
        <v>30</v>
      </c>
      <c r="Q211">
        <v>12.54</v>
      </c>
      <c r="R211">
        <v>4.7619047620000003</v>
      </c>
      <c r="S211">
        <v>0.627</v>
      </c>
      <c r="T211">
        <v>8.1999999999999993</v>
      </c>
    </row>
    <row r="212" spans="1:20" x14ac:dyDescent="0.3">
      <c r="A212">
        <v>213</v>
      </c>
      <c r="C212">
        <v>72</v>
      </c>
      <c r="D212">
        <v>6612</v>
      </c>
      <c r="E212" t="s">
        <v>20</v>
      </c>
      <c r="F212" t="s">
        <v>21</v>
      </c>
      <c r="G212" t="s">
        <v>28</v>
      </c>
      <c r="H212" t="s">
        <v>38</v>
      </c>
      <c r="I212" t="s">
        <v>36</v>
      </c>
      <c r="J212">
        <v>43.25</v>
      </c>
      <c r="K212">
        <v>2</v>
      </c>
      <c r="L212">
        <v>4.3250000000000002</v>
      </c>
      <c r="M212">
        <v>90.825000000000003</v>
      </c>
      <c r="N212" s="1">
        <v>43544</v>
      </c>
      <c r="O212" s="2">
        <v>0.66388888888888886</v>
      </c>
      <c r="P212" t="s">
        <v>30</v>
      </c>
      <c r="Q212">
        <v>86.5</v>
      </c>
      <c r="R212">
        <v>4.7619047620000003</v>
      </c>
      <c r="S212">
        <v>4.3250000000000002</v>
      </c>
      <c r="T212">
        <v>6.2</v>
      </c>
    </row>
    <row r="213" spans="1:20" x14ac:dyDescent="0.3">
      <c r="A213">
        <v>746</v>
      </c>
      <c r="C213">
        <v>68</v>
      </c>
      <c r="D213">
        <v>6593</v>
      </c>
      <c r="E213" t="s">
        <v>26</v>
      </c>
      <c r="F213" t="s">
        <v>27</v>
      </c>
      <c r="G213" t="s">
        <v>22</v>
      </c>
      <c r="H213" t="s">
        <v>23</v>
      </c>
      <c r="I213" t="s">
        <v>33</v>
      </c>
      <c r="J213">
        <v>87.16</v>
      </c>
      <c r="K213">
        <v>2</v>
      </c>
      <c r="L213">
        <v>8.7159999999999993</v>
      </c>
      <c r="M213">
        <v>183.036</v>
      </c>
      <c r="N213" s="1">
        <v>43476</v>
      </c>
      <c r="O213" s="2">
        <v>0.60347222222222219</v>
      </c>
      <c r="P213" t="s">
        <v>32</v>
      </c>
      <c r="Q213">
        <v>174.32</v>
      </c>
      <c r="R213">
        <v>4.7619047620000003</v>
      </c>
      <c r="S213">
        <v>8.7159999999999993</v>
      </c>
      <c r="T213">
        <v>9.6999999999999993</v>
      </c>
    </row>
    <row r="214" spans="1:20" x14ac:dyDescent="0.3">
      <c r="A214">
        <v>836</v>
      </c>
      <c r="C214">
        <v>82</v>
      </c>
      <c r="D214">
        <v>5858</v>
      </c>
      <c r="E214" t="s">
        <v>34</v>
      </c>
      <c r="F214" t="s">
        <v>35</v>
      </c>
      <c r="G214" t="s">
        <v>22</v>
      </c>
      <c r="H214" t="s">
        <v>38</v>
      </c>
      <c r="I214" t="s">
        <v>24</v>
      </c>
      <c r="J214">
        <v>69.37</v>
      </c>
      <c r="K214">
        <v>9</v>
      </c>
      <c r="L214">
        <v>31.2165</v>
      </c>
      <c r="M214">
        <v>655.54650000000004</v>
      </c>
      <c r="N214" s="1">
        <v>43491</v>
      </c>
      <c r="O214" s="2">
        <v>0.80138888888888893</v>
      </c>
      <c r="P214" t="s">
        <v>25</v>
      </c>
      <c r="Q214">
        <v>624.33000000000004</v>
      </c>
      <c r="R214">
        <v>4.7619047620000003</v>
      </c>
      <c r="S214">
        <v>31.2165</v>
      </c>
      <c r="T214">
        <v>4</v>
      </c>
    </row>
    <row r="215" spans="1:20" x14ac:dyDescent="0.3">
      <c r="A215">
        <v>583</v>
      </c>
      <c r="C215">
        <v>72</v>
      </c>
      <c r="D215">
        <v>1480</v>
      </c>
      <c r="E215" t="s">
        <v>26</v>
      </c>
      <c r="F215" t="s">
        <v>27</v>
      </c>
      <c r="G215" t="s">
        <v>22</v>
      </c>
      <c r="H215" t="s">
        <v>38</v>
      </c>
      <c r="I215" t="s">
        <v>29</v>
      </c>
      <c r="J215">
        <v>37.06</v>
      </c>
      <c r="K215">
        <v>4</v>
      </c>
      <c r="L215">
        <v>7.4119999999999999</v>
      </c>
      <c r="M215">
        <v>155.65199999999999</v>
      </c>
      <c r="N215" s="1">
        <v>43496</v>
      </c>
      <c r="O215" s="2">
        <v>0.68333333333333335</v>
      </c>
      <c r="P215" t="s">
        <v>25</v>
      </c>
      <c r="Q215">
        <v>148.24</v>
      </c>
      <c r="R215">
        <v>4.7619047620000003</v>
      </c>
      <c r="S215">
        <v>7.4119999999999999</v>
      </c>
      <c r="T215">
        <v>9.6999999999999993</v>
      </c>
    </row>
    <row r="216" spans="1:20" x14ac:dyDescent="0.3">
      <c r="A216">
        <v>466</v>
      </c>
      <c r="C216">
        <v>61</v>
      </c>
      <c r="D216">
        <v>5506</v>
      </c>
      <c r="E216" t="s">
        <v>34</v>
      </c>
      <c r="F216" t="s">
        <v>35</v>
      </c>
      <c r="G216" t="s">
        <v>22</v>
      </c>
      <c r="H216" t="s">
        <v>23</v>
      </c>
      <c r="I216" t="s">
        <v>29</v>
      </c>
      <c r="J216">
        <v>90.7</v>
      </c>
      <c r="K216">
        <v>6</v>
      </c>
      <c r="L216">
        <v>27.21</v>
      </c>
      <c r="M216">
        <v>571.41</v>
      </c>
      <c r="N216" s="1">
        <v>43522</v>
      </c>
      <c r="O216" s="2">
        <v>0.45277777777777778</v>
      </c>
      <c r="P216" t="s">
        <v>30</v>
      </c>
      <c r="Q216">
        <v>544.20000000000005</v>
      </c>
      <c r="R216">
        <v>4.7619047620000003</v>
      </c>
      <c r="S216">
        <v>27.21</v>
      </c>
      <c r="T216">
        <v>5.3</v>
      </c>
    </row>
    <row r="217" spans="1:20" x14ac:dyDescent="0.3">
      <c r="A217">
        <v>721</v>
      </c>
      <c r="C217">
        <v>86</v>
      </c>
      <c r="D217">
        <v>6247</v>
      </c>
      <c r="E217" t="s">
        <v>20</v>
      </c>
      <c r="F217" t="s">
        <v>21</v>
      </c>
      <c r="G217" t="s">
        <v>28</v>
      </c>
      <c r="H217" t="s">
        <v>23</v>
      </c>
      <c r="I217" t="s">
        <v>31</v>
      </c>
      <c r="J217">
        <v>63.42</v>
      </c>
      <c r="K217">
        <v>8</v>
      </c>
      <c r="L217">
        <v>25.367999999999999</v>
      </c>
      <c r="M217">
        <v>532.72799999999995</v>
      </c>
      <c r="N217" s="1">
        <v>43535</v>
      </c>
      <c r="O217" s="2">
        <v>0.53819444444444442</v>
      </c>
      <c r="P217" t="s">
        <v>25</v>
      </c>
      <c r="Q217">
        <v>507.36</v>
      </c>
      <c r="R217">
        <v>4.7619047620000003</v>
      </c>
      <c r="S217">
        <v>25.367999999999999</v>
      </c>
      <c r="T217">
        <v>7.4</v>
      </c>
    </row>
    <row r="218" spans="1:20" x14ac:dyDescent="0.3">
      <c r="A218">
        <v>289</v>
      </c>
      <c r="C218">
        <v>65</v>
      </c>
      <c r="D218">
        <v>5721</v>
      </c>
      <c r="E218" t="s">
        <v>34</v>
      </c>
      <c r="F218" t="s">
        <v>35</v>
      </c>
      <c r="G218" t="s">
        <v>28</v>
      </c>
      <c r="H218" t="s">
        <v>23</v>
      </c>
      <c r="I218" t="s">
        <v>37</v>
      </c>
      <c r="J218">
        <v>81.37</v>
      </c>
      <c r="K218">
        <v>2</v>
      </c>
      <c r="L218">
        <v>8.1370000000000005</v>
      </c>
      <c r="M218">
        <v>170.87700000000001</v>
      </c>
      <c r="N218" s="1">
        <v>43491</v>
      </c>
      <c r="O218" s="2">
        <v>0.81111111111111112</v>
      </c>
      <c r="P218" t="s">
        <v>30</v>
      </c>
      <c r="Q218">
        <v>162.74</v>
      </c>
      <c r="R218">
        <v>4.7619047620000003</v>
      </c>
      <c r="S218">
        <v>8.1370000000000005</v>
      </c>
      <c r="T218">
        <v>6.5</v>
      </c>
    </row>
    <row r="219" spans="1:20" x14ac:dyDescent="0.3">
      <c r="A219">
        <v>545</v>
      </c>
      <c r="C219">
        <v>46</v>
      </c>
      <c r="D219">
        <v>3100</v>
      </c>
      <c r="E219" t="s">
        <v>34</v>
      </c>
      <c r="F219" t="s">
        <v>35</v>
      </c>
      <c r="G219" t="s">
        <v>22</v>
      </c>
      <c r="H219" t="s">
        <v>23</v>
      </c>
      <c r="I219" t="s">
        <v>29</v>
      </c>
      <c r="J219">
        <v>10.59</v>
      </c>
      <c r="K219">
        <v>3</v>
      </c>
      <c r="L219">
        <v>1.5885</v>
      </c>
      <c r="M219">
        <v>33.358499999999999</v>
      </c>
      <c r="N219" s="1">
        <v>43536</v>
      </c>
      <c r="O219" s="2">
        <v>0.57777777777777772</v>
      </c>
      <c r="P219" t="s">
        <v>32</v>
      </c>
      <c r="Q219">
        <v>31.77</v>
      </c>
      <c r="R219">
        <v>4.7619047620000003</v>
      </c>
      <c r="S219">
        <v>1.5885</v>
      </c>
      <c r="T219">
        <v>8.6999999999999993</v>
      </c>
    </row>
    <row r="220" spans="1:20" x14ac:dyDescent="0.3">
      <c r="A220">
        <v>418</v>
      </c>
      <c r="C220">
        <v>2</v>
      </c>
      <c r="D220">
        <v>5978</v>
      </c>
      <c r="E220" t="s">
        <v>34</v>
      </c>
      <c r="F220" t="s">
        <v>35</v>
      </c>
      <c r="G220" t="s">
        <v>28</v>
      </c>
      <c r="H220" t="s">
        <v>23</v>
      </c>
      <c r="I220" t="s">
        <v>24</v>
      </c>
      <c r="J220">
        <v>84.09</v>
      </c>
      <c r="K220">
        <v>9</v>
      </c>
      <c r="L220">
        <v>37.840499999999999</v>
      </c>
      <c r="M220">
        <v>794.65049999999997</v>
      </c>
      <c r="N220" s="1">
        <v>43507</v>
      </c>
      <c r="O220" s="2">
        <v>0.45416666666666666</v>
      </c>
      <c r="P220" t="s">
        <v>30</v>
      </c>
      <c r="Q220">
        <v>756.81</v>
      </c>
      <c r="R220">
        <v>4.7619047620000003</v>
      </c>
      <c r="S220">
        <v>37.840499999999999</v>
      </c>
      <c r="T220">
        <v>8</v>
      </c>
    </row>
    <row r="221" spans="1:20" x14ac:dyDescent="0.3">
      <c r="A221">
        <v>269</v>
      </c>
      <c r="C221">
        <v>4</v>
      </c>
      <c r="D221">
        <v>5750</v>
      </c>
      <c r="E221" t="s">
        <v>34</v>
      </c>
      <c r="F221" t="s">
        <v>35</v>
      </c>
      <c r="G221" t="s">
        <v>22</v>
      </c>
      <c r="H221" t="s">
        <v>38</v>
      </c>
      <c r="I221" t="s">
        <v>37</v>
      </c>
      <c r="J221">
        <v>73.819999999999993</v>
      </c>
      <c r="K221">
        <v>4</v>
      </c>
      <c r="L221">
        <v>14.763999999999999</v>
      </c>
      <c r="M221">
        <v>310.04399999999998</v>
      </c>
      <c r="N221" s="1">
        <v>43517</v>
      </c>
      <c r="O221" s="2">
        <v>0.77152777777777781</v>
      </c>
      <c r="P221" t="s">
        <v>30</v>
      </c>
      <c r="Q221">
        <v>295.27999999999997</v>
      </c>
      <c r="R221">
        <v>4.7619047620000003</v>
      </c>
      <c r="S221">
        <v>14.763999999999999</v>
      </c>
      <c r="T221">
        <v>6.7</v>
      </c>
    </row>
    <row r="222" spans="1:20" x14ac:dyDescent="0.3">
      <c r="A222">
        <v>157</v>
      </c>
      <c r="C222">
        <v>13</v>
      </c>
      <c r="D222">
        <v>5295</v>
      </c>
      <c r="E222" t="s">
        <v>20</v>
      </c>
      <c r="F222" t="s">
        <v>21</v>
      </c>
      <c r="G222" t="s">
        <v>22</v>
      </c>
      <c r="H222" t="s">
        <v>38</v>
      </c>
      <c r="I222" t="s">
        <v>24</v>
      </c>
      <c r="J222">
        <v>51.94</v>
      </c>
      <c r="K222">
        <v>10</v>
      </c>
      <c r="L222">
        <v>25.97</v>
      </c>
      <c r="M222">
        <v>545.37</v>
      </c>
      <c r="N222" s="1">
        <v>43533</v>
      </c>
      <c r="O222" s="2">
        <v>0.76666666666666672</v>
      </c>
      <c r="P222" t="s">
        <v>25</v>
      </c>
      <c r="Q222">
        <v>519.4</v>
      </c>
      <c r="R222">
        <v>4.7619047620000003</v>
      </c>
      <c r="S222">
        <v>25.97</v>
      </c>
      <c r="T222">
        <v>6.5</v>
      </c>
    </row>
    <row r="223" spans="1:20" x14ac:dyDescent="0.3">
      <c r="A223">
        <v>645</v>
      </c>
      <c r="C223">
        <v>78</v>
      </c>
      <c r="D223">
        <v>8093</v>
      </c>
      <c r="E223" t="s">
        <v>20</v>
      </c>
      <c r="F223" t="s">
        <v>21</v>
      </c>
      <c r="G223" t="s">
        <v>28</v>
      </c>
      <c r="H223" t="s">
        <v>23</v>
      </c>
      <c r="I223" t="s">
        <v>33</v>
      </c>
      <c r="J223">
        <v>93.14</v>
      </c>
      <c r="K223">
        <v>2</v>
      </c>
      <c r="L223">
        <v>9.3140000000000001</v>
      </c>
      <c r="M223">
        <v>195.59399999999999</v>
      </c>
      <c r="N223" s="1">
        <v>43485</v>
      </c>
      <c r="O223" s="2">
        <v>0.75624999999999998</v>
      </c>
      <c r="P223" t="s">
        <v>25</v>
      </c>
      <c r="Q223">
        <v>186.28</v>
      </c>
      <c r="R223">
        <v>4.7619047620000003</v>
      </c>
      <c r="S223">
        <v>9.3140000000000001</v>
      </c>
      <c r="T223">
        <v>4.0999999999999996</v>
      </c>
    </row>
    <row r="224" spans="1:20" x14ac:dyDescent="0.3">
      <c r="A224">
        <v>211</v>
      </c>
      <c r="C224">
        <v>30</v>
      </c>
      <c r="D224">
        <v>9270</v>
      </c>
      <c r="E224" t="s">
        <v>26</v>
      </c>
      <c r="F224" t="s">
        <v>27</v>
      </c>
      <c r="G224" t="s">
        <v>28</v>
      </c>
      <c r="H224" t="s">
        <v>38</v>
      </c>
      <c r="I224" t="s">
        <v>24</v>
      </c>
      <c r="J224">
        <v>17.41</v>
      </c>
      <c r="K224">
        <v>5</v>
      </c>
      <c r="L224">
        <v>4.3525</v>
      </c>
      <c r="M224">
        <v>91.402500000000003</v>
      </c>
      <c r="N224" s="1">
        <v>43493</v>
      </c>
      <c r="O224" s="2">
        <v>0.63611111111111107</v>
      </c>
      <c r="P224" t="s">
        <v>32</v>
      </c>
      <c r="Q224">
        <v>87.05</v>
      </c>
      <c r="R224">
        <v>4.7619047620000003</v>
      </c>
      <c r="S224">
        <v>4.3525</v>
      </c>
      <c r="T224">
        <v>4.9000000000000004</v>
      </c>
    </row>
    <row r="225" spans="1:20" x14ac:dyDescent="0.3">
      <c r="A225">
        <v>755</v>
      </c>
      <c r="C225">
        <v>12</v>
      </c>
      <c r="D225">
        <v>3214</v>
      </c>
      <c r="E225" t="s">
        <v>26</v>
      </c>
      <c r="F225" t="s">
        <v>27</v>
      </c>
      <c r="G225" t="s">
        <v>22</v>
      </c>
      <c r="H225" t="s">
        <v>23</v>
      </c>
      <c r="I225" t="s">
        <v>37</v>
      </c>
      <c r="J225">
        <v>44.22</v>
      </c>
      <c r="K225">
        <v>5</v>
      </c>
      <c r="L225">
        <v>11.055</v>
      </c>
      <c r="M225">
        <v>232.155</v>
      </c>
      <c r="N225" s="1">
        <v>43529</v>
      </c>
      <c r="O225" s="2">
        <v>0.71319444444444446</v>
      </c>
      <c r="P225" t="s">
        <v>32</v>
      </c>
      <c r="Q225">
        <v>221.1</v>
      </c>
      <c r="R225">
        <v>4.7619047620000003</v>
      </c>
      <c r="S225">
        <v>11.055</v>
      </c>
      <c r="T225">
        <v>8.6</v>
      </c>
    </row>
    <row r="226" spans="1:20" x14ac:dyDescent="0.3">
      <c r="A226">
        <v>346</v>
      </c>
      <c r="C226">
        <v>84</v>
      </c>
      <c r="D226">
        <v>3103</v>
      </c>
      <c r="E226" t="s">
        <v>34</v>
      </c>
      <c r="F226" t="s">
        <v>35</v>
      </c>
      <c r="G226" t="s">
        <v>22</v>
      </c>
      <c r="H226" t="s">
        <v>23</v>
      </c>
      <c r="I226" t="s">
        <v>29</v>
      </c>
      <c r="J226">
        <v>13.22</v>
      </c>
      <c r="K226">
        <v>5</v>
      </c>
      <c r="L226">
        <v>3.3050000000000002</v>
      </c>
      <c r="M226">
        <v>69.405000000000001</v>
      </c>
      <c r="N226" s="1">
        <v>43526</v>
      </c>
      <c r="O226" s="2">
        <v>0.80972222222222223</v>
      </c>
      <c r="P226" t="s">
        <v>30</v>
      </c>
      <c r="Q226">
        <v>66.099999999999994</v>
      </c>
      <c r="R226">
        <v>4.7619047620000003</v>
      </c>
      <c r="S226">
        <v>3.3050000000000002</v>
      </c>
      <c r="T226">
        <v>4.3</v>
      </c>
    </row>
    <row r="227" spans="1:20" x14ac:dyDescent="0.3">
      <c r="A227">
        <v>478</v>
      </c>
      <c r="C227">
        <v>6</v>
      </c>
      <c r="D227">
        <v>7835</v>
      </c>
      <c r="E227" t="s">
        <v>20</v>
      </c>
      <c r="F227" t="s">
        <v>21</v>
      </c>
      <c r="G227" t="s">
        <v>28</v>
      </c>
      <c r="H227" t="s">
        <v>38</v>
      </c>
      <c r="I227" t="s">
        <v>37</v>
      </c>
      <c r="J227">
        <v>89.69</v>
      </c>
      <c r="K227">
        <v>1</v>
      </c>
      <c r="L227">
        <v>4.4844999999999997</v>
      </c>
      <c r="M227">
        <v>94.174499999999995</v>
      </c>
      <c r="N227" s="1">
        <v>43476</v>
      </c>
      <c r="O227" s="2">
        <v>0.47222222222222221</v>
      </c>
      <c r="P227" t="s">
        <v>25</v>
      </c>
      <c r="Q227">
        <v>89.69</v>
      </c>
      <c r="R227">
        <v>4.7619047620000003</v>
      </c>
      <c r="S227">
        <v>4.4844999999999997</v>
      </c>
      <c r="T227">
        <v>4.9000000000000004</v>
      </c>
    </row>
    <row r="228" spans="1:20" x14ac:dyDescent="0.3">
      <c r="A228">
        <v>540</v>
      </c>
      <c r="C228">
        <v>11</v>
      </c>
      <c r="D228">
        <v>4336</v>
      </c>
      <c r="E228" t="s">
        <v>20</v>
      </c>
      <c r="F228" t="s">
        <v>21</v>
      </c>
      <c r="G228" t="s">
        <v>28</v>
      </c>
      <c r="H228" t="s">
        <v>38</v>
      </c>
      <c r="I228" t="s">
        <v>36</v>
      </c>
      <c r="J228">
        <v>24.94</v>
      </c>
      <c r="K228">
        <v>9</v>
      </c>
      <c r="L228">
        <v>11.223000000000001</v>
      </c>
      <c r="M228">
        <v>235.68299999999999</v>
      </c>
      <c r="N228" s="1">
        <v>43476</v>
      </c>
      <c r="O228" s="2">
        <v>0.7006944444444444</v>
      </c>
      <c r="P228" t="s">
        <v>32</v>
      </c>
      <c r="Q228">
        <v>224.46</v>
      </c>
      <c r="R228">
        <v>4.7619047620000003</v>
      </c>
      <c r="S228">
        <v>11.223000000000001</v>
      </c>
      <c r="T228">
        <v>5.6</v>
      </c>
    </row>
    <row r="229" spans="1:20" x14ac:dyDescent="0.3">
      <c r="A229">
        <v>448</v>
      </c>
      <c r="C229">
        <v>81</v>
      </c>
      <c r="D229">
        <v>5016</v>
      </c>
      <c r="E229" t="s">
        <v>20</v>
      </c>
      <c r="F229" t="s">
        <v>21</v>
      </c>
      <c r="G229" t="s">
        <v>28</v>
      </c>
      <c r="H229" t="s">
        <v>38</v>
      </c>
      <c r="I229" t="s">
        <v>24</v>
      </c>
      <c r="J229">
        <v>59.77</v>
      </c>
      <c r="K229">
        <v>2</v>
      </c>
      <c r="L229">
        <v>5.9770000000000003</v>
      </c>
      <c r="M229">
        <v>125.517</v>
      </c>
      <c r="N229" s="1">
        <v>43535</v>
      </c>
      <c r="O229" s="2">
        <v>0.50069444444444444</v>
      </c>
      <c r="P229" t="s">
        <v>32</v>
      </c>
      <c r="Q229">
        <v>119.54</v>
      </c>
      <c r="R229">
        <v>4.7619047620000003</v>
      </c>
      <c r="S229">
        <v>5.9770000000000003</v>
      </c>
      <c r="T229">
        <v>5.8</v>
      </c>
    </row>
    <row r="230" spans="1:20" x14ac:dyDescent="0.3">
      <c r="A230">
        <v>142</v>
      </c>
      <c r="C230">
        <v>72</v>
      </c>
      <c r="D230">
        <v>4741</v>
      </c>
      <c r="E230" t="s">
        <v>26</v>
      </c>
      <c r="F230" t="s">
        <v>27</v>
      </c>
      <c r="G230" t="s">
        <v>22</v>
      </c>
      <c r="H230" t="s">
        <v>38</v>
      </c>
      <c r="I230" t="s">
        <v>37</v>
      </c>
      <c r="J230">
        <v>93.2</v>
      </c>
      <c r="K230">
        <v>2</v>
      </c>
      <c r="L230">
        <v>9.32</v>
      </c>
      <c r="M230">
        <v>195.72</v>
      </c>
      <c r="N230" s="1">
        <v>43524</v>
      </c>
      <c r="O230" s="2">
        <v>0.77569444444444446</v>
      </c>
      <c r="P230" t="s">
        <v>32</v>
      </c>
      <c r="Q230">
        <v>186.4</v>
      </c>
      <c r="R230">
        <v>4.7619047620000003</v>
      </c>
      <c r="S230">
        <v>9.32</v>
      </c>
      <c r="T230">
        <v>6</v>
      </c>
    </row>
    <row r="231" spans="1:20" x14ac:dyDescent="0.3">
      <c r="A231">
        <v>217</v>
      </c>
      <c r="C231">
        <v>58</v>
      </c>
      <c r="D231">
        <v>1179</v>
      </c>
      <c r="E231" t="s">
        <v>20</v>
      </c>
      <c r="F231" t="s">
        <v>21</v>
      </c>
      <c r="G231" t="s">
        <v>22</v>
      </c>
      <c r="H231" t="s">
        <v>38</v>
      </c>
      <c r="I231" t="s">
        <v>31</v>
      </c>
      <c r="J231">
        <v>62.65</v>
      </c>
      <c r="K231">
        <v>4</v>
      </c>
      <c r="L231">
        <v>12.53</v>
      </c>
      <c r="M231">
        <v>263.13</v>
      </c>
      <c r="N231" s="1">
        <v>43470</v>
      </c>
      <c r="O231" s="2">
        <v>0.47569444444444442</v>
      </c>
      <c r="P231" t="s">
        <v>30</v>
      </c>
      <c r="Q231">
        <v>250.6</v>
      </c>
      <c r="R231">
        <v>4.7619047620000003</v>
      </c>
      <c r="S231">
        <v>12.53</v>
      </c>
      <c r="T231">
        <v>4.2</v>
      </c>
    </row>
    <row r="232" spans="1:20" x14ac:dyDescent="0.3">
      <c r="A232">
        <v>376</v>
      </c>
      <c r="C232">
        <v>2</v>
      </c>
      <c r="D232">
        <v>8238</v>
      </c>
      <c r="E232" t="s">
        <v>34</v>
      </c>
      <c r="F232" t="s">
        <v>35</v>
      </c>
      <c r="G232" t="s">
        <v>28</v>
      </c>
      <c r="H232" t="s">
        <v>38</v>
      </c>
      <c r="I232" t="s">
        <v>31</v>
      </c>
      <c r="J232">
        <v>93.87</v>
      </c>
      <c r="K232">
        <v>8</v>
      </c>
      <c r="L232">
        <v>37.548000000000002</v>
      </c>
      <c r="M232">
        <v>788.50800000000004</v>
      </c>
      <c r="N232" s="1">
        <v>43498</v>
      </c>
      <c r="O232" s="2">
        <v>0.77916666666666667</v>
      </c>
      <c r="P232" t="s">
        <v>32</v>
      </c>
      <c r="Q232">
        <v>750.96</v>
      </c>
      <c r="R232">
        <v>4.7619047620000003</v>
      </c>
      <c r="S232">
        <v>37.548000000000002</v>
      </c>
      <c r="T232">
        <v>8.3000000000000007</v>
      </c>
    </row>
    <row r="233" spans="1:20" x14ac:dyDescent="0.3">
      <c r="A233">
        <v>530</v>
      </c>
      <c r="C233">
        <v>90</v>
      </c>
      <c r="D233">
        <v>9855</v>
      </c>
      <c r="E233" t="s">
        <v>20</v>
      </c>
      <c r="F233" t="s">
        <v>21</v>
      </c>
      <c r="G233" t="s">
        <v>22</v>
      </c>
      <c r="H233" t="s">
        <v>38</v>
      </c>
      <c r="I233" t="s">
        <v>31</v>
      </c>
      <c r="J233">
        <v>47.59</v>
      </c>
      <c r="K233">
        <v>8</v>
      </c>
      <c r="L233">
        <v>19.036000000000001</v>
      </c>
      <c r="M233">
        <v>399.75599999999997</v>
      </c>
      <c r="N233" s="1">
        <v>43466</v>
      </c>
      <c r="O233" s="2">
        <v>0.61597222222222225</v>
      </c>
      <c r="P233" t="s">
        <v>30</v>
      </c>
      <c r="Q233">
        <v>380.72</v>
      </c>
      <c r="R233">
        <v>4.7619047620000003</v>
      </c>
      <c r="S233">
        <v>19.036000000000001</v>
      </c>
      <c r="T233">
        <v>5.7</v>
      </c>
    </row>
    <row r="234" spans="1:20" x14ac:dyDescent="0.3">
      <c r="A234">
        <v>866</v>
      </c>
      <c r="C234">
        <v>5</v>
      </c>
      <c r="D234">
        <v>7563</v>
      </c>
      <c r="E234" t="s">
        <v>34</v>
      </c>
      <c r="F234" t="s">
        <v>35</v>
      </c>
      <c r="G234" t="s">
        <v>22</v>
      </c>
      <c r="H234" t="s">
        <v>23</v>
      </c>
      <c r="I234" t="s">
        <v>29</v>
      </c>
      <c r="J234">
        <v>81.400000000000006</v>
      </c>
      <c r="K234">
        <v>3</v>
      </c>
      <c r="L234">
        <v>12.21</v>
      </c>
      <c r="M234">
        <v>256.41000000000003</v>
      </c>
      <c r="N234" s="1">
        <v>43505</v>
      </c>
      <c r="O234" s="2">
        <v>0.82152777777777775</v>
      </c>
      <c r="P234" t="s">
        <v>30</v>
      </c>
      <c r="Q234">
        <v>244.2</v>
      </c>
      <c r="R234">
        <v>4.7619047620000003</v>
      </c>
      <c r="S234">
        <v>12.21</v>
      </c>
      <c r="T234">
        <v>4.8</v>
      </c>
    </row>
    <row r="235" spans="1:20" x14ac:dyDescent="0.3">
      <c r="A235">
        <v>604</v>
      </c>
      <c r="C235">
        <v>70</v>
      </c>
      <c r="D235">
        <v>6476</v>
      </c>
      <c r="E235" t="s">
        <v>20</v>
      </c>
      <c r="F235" t="s">
        <v>21</v>
      </c>
      <c r="G235" t="s">
        <v>22</v>
      </c>
      <c r="H235" t="s">
        <v>38</v>
      </c>
      <c r="I235" t="s">
        <v>37</v>
      </c>
      <c r="J235">
        <v>17.940000000000001</v>
      </c>
      <c r="K235">
        <v>5</v>
      </c>
      <c r="L235">
        <v>4.4850000000000003</v>
      </c>
      <c r="M235">
        <v>94.185000000000002</v>
      </c>
      <c r="N235" s="1">
        <v>43488</v>
      </c>
      <c r="O235" s="2">
        <v>0.58611111111111114</v>
      </c>
      <c r="P235" t="s">
        <v>25</v>
      </c>
      <c r="Q235">
        <v>89.7</v>
      </c>
      <c r="R235">
        <v>4.7619047620000003</v>
      </c>
      <c r="S235">
        <v>4.4850000000000003</v>
      </c>
      <c r="T235">
        <v>6.8</v>
      </c>
    </row>
    <row r="236" spans="1:20" x14ac:dyDescent="0.3">
      <c r="A236">
        <v>799</v>
      </c>
      <c r="C236">
        <v>71</v>
      </c>
      <c r="D236">
        <v>1548</v>
      </c>
      <c r="E236" t="s">
        <v>20</v>
      </c>
      <c r="F236" t="s">
        <v>21</v>
      </c>
      <c r="G236" t="s">
        <v>22</v>
      </c>
      <c r="H236" t="s">
        <v>38</v>
      </c>
      <c r="I236" t="s">
        <v>29</v>
      </c>
      <c r="J236">
        <v>77.72</v>
      </c>
      <c r="K236">
        <v>4</v>
      </c>
      <c r="L236">
        <v>15.544</v>
      </c>
      <c r="M236">
        <v>326.42399999999998</v>
      </c>
      <c r="N236" s="1">
        <v>43472</v>
      </c>
      <c r="O236" s="2">
        <v>0.6743055555555556</v>
      </c>
      <c r="P236" t="s">
        <v>32</v>
      </c>
      <c r="Q236">
        <v>310.88</v>
      </c>
      <c r="R236">
        <v>4.7619047620000003</v>
      </c>
      <c r="S236">
        <v>15.544</v>
      </c>
      <c r="T236">
        <v>8.8000000000000007</v>
      </c>
    </row>
    <row r="237" spans="1:20" x14ac:dyDescent="0.3">
      <c r="A237">
        <v>785</v>
      </c>
      <c r="C237">
        <v>13</v>
      </c>
      <c r="D237">
        <v>7708</v>
      </c>
      <c r="E237" t="s">
        <v>34</v>
      </c>
      <c r="F237" t="s">
        <v>35</v>
      </c>
      <c r="G237" t="s">
        <v>28</v>
      </c>
      <c r="H237" t="s">
        <v>38</v>
      </c>
      <c r="I237" t="s">
        <v>36</v>
      </c>
      <c r="J237">
        <v>73.06</v>
      </c>
      <c r="K237">
        <v>7</v>
      </c>
      <c r="L237">
        <v>25.571000000000002</v>
      </c>
      <c r="M237">
        <v>536.99099999999999</v>
      </c>
      <c r="N237" s="1">
        <v>43479</v>
      </c>
      <c r="O237" s="2">
        <v>0.79583333333333328</v>
      </c>
      <c r="P237" t="s">
        <v>32</v>
      </c>
      <c r="Q237">
        <v>511.42</v>
      </c>
      <c r="R237">
        <v>4.7619047620000003</v>
      </c>
      <c r="S237">
        <v>25.571000000000002</v>
      </c>
      <c r="T237">
        <v>4.2</v>
      </c>
    </row>
    <row r="238" spans="1:20" x14ac:dyDescent="0.3">
      <c r="A238">
        <v>845</v>
      </c>
      <c r="C238">
        <v>51</v>
      </c>
      <c r="D238">
        <v>542</v>
      </c>
      <c r="E238" t="s">
        <v>34</v>
      </c>
      <c r="F238" t="s">
        <v>35</v>
      </c>
      <c r="G238" t="s">
        <v>22</v>
      </c>
      <c r="H238" t="s">
        <v>38</v>
      </c>
      <c r="I238" t="s">
        <v>36</v>
      </c>
      <c r="J238">
        <v>46.55</v>
      </c>
      <c r="K238">
        <v>9</v>
      </c>
      <c r="L238">
        <v>20.947500000000002</v>
      </c>
      <c r="M238">
        <v>439.89749999999998</v>
      </c>
      <c r="N238" s="1">
        <v>43498</v>
      </c>
      <c r="O238" s="2">
        <v>0.64861111111111114</v>
      </c>
      <c r="P238" t="s">
        <v>25</v>
      </c>
      <c r="Q238">
        <v>418.95</v>
      </c>
      <c r="R238">
        <v>4.7619047620000003</v>
      </c>
      <c r="S238">
        <v>20.947500000000002</v>
      </c>
      <c r="T238">
        <v>6.4</v>
      </c>
    </row>
    <row r="239" spans="1:20" x14ac:dyDescent="0.3">
      <c r="A239">
        <v>662</v>
      </c>
      <c r="C239">
        <v>47</v>
      </c>
      <c r="D239">
        <v>5456</v>
      </c>
      <c r="E239" t="s">
        <v>26</v>
      </c>
      <c r="F239" t="s">
        <v>27</v>
      </c>
      <c r="G239" t="s">
        <v>22</v>
      </c>
      <c r="H239" t="s">
        <v>38</v>
      </c>
      <c r="I239" t="s">
        <v>37</v>
      </c>
      <c r="J239">
        <v>35.19</v>
      </c>
      <c r="K239">
        <v>10</v>
      </c>
      <c r="L239">
        <v>17.594999999999999</v>
      </c>
      <c r="M239">
        <v>369.495</v>
      </c>
      <c r="N239" s="1">
        <v>43541</v>
      </c>
      <c r="O239" s="2">
        <v>0.79583333333333328</v>
      </c>
      <c r="P239" t="s">
        <v>32</v>
      </c>
      <c r="Q239">
        <v>351.9</v>
      </c>
      <c r="R239">
        <v>4.7619047620000003</v>
      </c>
      <c r="S239">
        <v>17.594999999999999</v>
      </c>
      <c r="T239">
        <v>8.4</v>
      </c>
    </row>
    <row r="240" spans="1:20" x14ac:dyDescent="0.3">
      <c r="A240">
        <v>883</v>
      </c>
      <c r="C240">
        <v>17</v>
      </c>
      <c r="D240">
        <v>4236</v>
      </c>
      <c r="E240" t="s">
        <v>26</v>
      </c>
      <c r="F240" t="s">
        <v>27</v>
      </c>
      <c r="G240" t="s">
        <v>28</v>
      </c>
      <c r="H240" t="s">
        <v>23</v>
      </c>
      <c r="I240" t="s">
        <v>33</v>
      </c>
      <c r="J240">
        <v>14.39</v>
      </c>
      <c r="K240">
        <v>2</v>
      </c>
      <c r="L240">
        <v>1.4390000000000001</v>
      </c>
      <c r="M240">
        <v>30.219000000000001</v>
      </c>
      <c r="N240" s="1">
        <v>43526</v>
      </c>
      <c r="O240" s="2">
        <v>0.82222222222222219</v>
      </c>
      <c r="P240" t="s">
        <v>32</v>
      </c>
      <c r="Q240">
        <v>28.78</v>
      </c>
      <c r="R240">
        <v>4.7619047620000003</v>
      </c>
      <c r="S240">
        <v>1.4390000000000001</v>
      </c>
      <c r="T240">
        <v>7.2</v>
      </c>
    </row>
    <row r="241" spans="1:20" x14ac:dyDescent="0.3">
      <c r="A241">
        <v>290</v>
      </c>
      <c r="C241">
        <v>68</v>
      </c>
      <c r="D241">
        <v>2984</v>
      </c>
      <c r="E241" t="s">
        <v>20</v>
      </c>
      <c r="F241" t="s">
        <v>21</v>
      </c>
      <c r="G241" t="s">
        <v>28</v>
      </c>
      <c r="H241" t="s">
        <v>38</v>
      </c>
      <c r="I241" t="s">
        <v>31</v>
      </c>
      <c r="J241">
        <v>23.75</v>
      </c>
      <c r="K241">
        <v>4</v>
      </c>
      <c r="L241">
        <v>4.75</v>
      </c>
      <c r="M241">
        <v>99.75</v>
      </c>
      <c r="N241" s="1">
        <v>43540</v>
      </c>
      <c r="O241" s="2">
        <v>0.47361111111111109</v>
      </c>
      <c r="P241" t="s">
        <v>30</v>
      </c>
      <c r="Q241">
        <v>95</v>
      </c>
      <c r="R241">
        <v>4.7619047620000003</v>
      </c>
      <c r="S241">
        <v>4.75</v>
      </c>
      <c r="T241">
        <v>5.2</v>
      </c>
    </row>
    <row r="242" spans="1:20" x14ac:dyDescent="0.3">
      <c r="A242">
        <v>704</v>
      </c>
      <c r="C242">
        <v>11</v>
      </c>
      <c r="D242">
        <v>6354</v>
      </c>
      <c r="E242" t="s">
        <v>20</v>
      </c>
      <c r="F242" t="s">
        <v>21</v>
      </c>
      <c r="G242" t="s">
        <v>22</v>
      </c>
      <c r="H242" t="s">
        <v>38</v>
      </c>
      <c r="I242" t="s">
        <v>31</v>
      </c>
      <c r="J242">
        <v>58.9</v>
      </c>
      <c r="K242">
        <v>8</v>
      </c>
      <c r="L242">
        <v>23.56</v>
      </c>
      <c r="M242">
        <v>494.76</v>
      </c>
      <c r="N242" s="1">
        <v>43471</v>
      </c>
      <c r="O242" s="2">
        <v>0.47430555555555554</v>
      </c>
      <c r="P242" t="s">
        <v>30</v>
      </c>
      <c r="Q242">
        <v>471.2</v>
      </c>
      <c r="R242">
        <v>4.7619047620000003</v>
      </c>
      <c r="S242">
        <v>23.56</v>
      </c>
      <c r="T242">
        <v>8.9</v>
      </c>
    </row>
    <row r="243" spans="1:20" x14ac:dyDescent="0.3">
      <c r="A243">
        <v>110</v>
      </c>
      <c r="C243">
        <v>48</v>
      </c>
      <c r="D243">
        <v>7033</v>
      </c>
      <c r="E243" t="s">
        <v>34</v>
      </c>
      <c r="F243" t="s">
        <v>35</v>
      </c>
      <c r="G243" t="s">
        <v>22</v>
      </c>
      <c r="H243" t="s">
        <v>38</v>
      </c>
      <c r="I243" t="s">
        <v>37</v>
      </c>
      <c r="J243">
        <v>32.619999999999997</v>
      </c>
      <c r="K243">
        <v>4</v>
      </c>
      <c r="L243">
        <v>6.524</v>
      </c>
      <c r="M243">
        <v>137.00399999999999</v>
      </c>
      <c r="N243" s="1">
        <v>43494</v>
      </c>
      <c r="O243" s="2">
        <v>0.59166666666666667</v>
      </c>
      <c r="P243" t="s">
        <v>30</v>
      </c>
      <c r="Q243">
        <v>130.47999999999999</v>
      </c>
      <c r="R243">
        <v>4.7619047620000003</v>
      </c>
      <c r="S243">
        <v>6.524</v>
      </c>
      <c r="T243">
        <v>9</v>
      </c>
    </row>
    <row r="244" spans="1:20" x14ac:dyDescent="0.3">
      <c r="A244">
        <v>366</v>
      </c>
      <c r="C244">
        <v>93</v>
      </c>
      <c r="D244">
        <v>948</v>
      </c>
      <c r="E244" t="s">
        <v>20</v>
      </c>
      <c r="F244" t="s">
        <v>21</v>
      </c>
      <c r="G244" t="s">
        <v>22</v>
      </c>
      <c r="H244" t="s">
        <v>38</v>
      </c>
      <c r="I244" t="s">
        <v>29</v>
      </c>
      <c r="J244">
        <v>66.349999999999994</v>
      </c>
      <c r="K244">
        <v>1</v>
      </c>
      <c r="L244">
        <v>3.3174999999999999</v>
      </c>
      <c r="M244">
        <v>69.667500000000004</v>
      </c>
      <c r="N244" s="1">
        <v>43496</v>
      </c>
      <c r="O244" s="2">
        <v>0.44861111111111113</v>
      </c>
      <c r="P244" t="s">
        <v>32</v>
      </c>
      <c r="Q244">
        <v>66.349999999999994</v>
      </c>
      <c r="R244">
        <v>4.7619047620000003</v>
      </c>
      <c r="S244">
        <v>3.3174999999999999</v>
      </c>
      <c r="T244">
        <v>9.6999999999999993</v>
      </c>
    </row>
    <row r="245" spans="1:20" x14ac:dyDescent="0.3">
      <c r="A245">
        <v>729</v>
      </c>
      <c r="C245">
        <v>9</v>
      </c>
      <c r="D245">
        <v>9681</v>
      </c>
      <c r="E245" t="s">
        <v>20</v>
      </c>
      <c r="F245" t="s">
        <v>21</v>
      </c>
      <c r="G245" t="s">
        <v>22</v>
      </c>
      <c r="H245" t="s">
        <v>38</v>
      </c>
      <c r="I245" t="s">
        <v>31</v>
      </c>
      <c r="J245">
        <v>25.91</v>
      </c>
      <c r="K245">
        <v>6</v>
      </c>
      <c r="L245">
        <v>7.7729999999999997</v>
      </c>
      <c r="M245">
        <v>163.233</v>
      </c>
      <c r="N245" s="1">
        <v>43501</v>
      </c>
      <c r="O245" s="2">
        <v>0.42777777777777776</v>
      </c>
      <c r="P245" t="s">
        <v>25</v>
      </c>
      <c r="Q245">
        <v>155.46</v>
      </c>
      <c r="R245">
        <v>4.7619047620000003</v>
      </c>
      <c r="S245">
        <v>7.7729999999999997</v>
      </c>
      <c r="T245">
        <v>8.6999999999999993</v>
      </c>
    </row>
    <row r="246" spans="1:20" x14ac:dyDescent="0.3">
      <c r="A246">
        <v>151</v>
      </c>
      <c r="C246">
        <v>16</v>
      </c>
      <c r="D246">
        <v>1484</v>
      </c>
      <c r="E246" t="s">
        <v>20</v>
      </c>
      <c r="F246" t="s">
        <v>21</v>
      </c>
      <c r="G246" t="s">
        <v>22</v>
      </c>
      <c r="H246" t="s">
        <v>38</v>
      </c>
      <c r="I246" t="s">
        <v>29</v>
      </c>
      <c r="J246">
        <v>32.25</v>
      </c>
      <c r="K246">
        <v>4</v>
      </c>
      <c r="L246">
        <v>6.45</v>
      </c>
      <c r="M246">
        <v>135.44999999999999</v>
      </c>
      <c r="N246" s="1">
        <v>43509</v>
      </c>
      <c r="O246" s="2">
        <v>0.52638888888888891</v>
      </c>
      <c r="P246" t="s">
        <v>25</v>
      </c>
      <c r="Q246">
        <v>129</v>
      </c>
      <c r="R246">
        <v>4.7619047620000003</v>
      </c>
      <c r="S246">
        <v>6.45</v>
      </c>
      <c r="T246">
        <v>6.5</v>
      </c>
    </row>
    <row r="247" spans="1:20" x14ac:dyDescent="0.3">
      <c r="A247">
        <v>380</v>
      </c>
      <c r="C247">
        <v>94</v>
      </c>
      <c r="D247">
        <v>4661</v>
      </c>
      <c r="E247" t="s">
        <v>26</v>
      </c>
      <c r="F247" t="s">
        <v>27</v>
      </c>
      <c r="G247" t="s">
        <v>22</v>
      </c>
      <c r="H247" t="s">
        <v>38</v>
      </c>
      <c r="I247" t="s">
        <v>29</v>
      </c>
      <c r="J247">
        <v>65.94</v>
      </c>
      <c r="K247">
        <v>4</v>
      </c>
      <c r="L247">
        <v>13.188000000000001</v>
      </c>
      <c r="M247">
        <v>276.94799999999998</v>
      </c>
      <c r="N247" s="1">
        <v>43503</v>
      </c>
      <c r="O247" s="2">
        <v>0.54513888888888884</v>
      </c>
      <c r="P247" t="s">
        <v>32</v>
      </c>
      <c r="Q247">
        <v>263.76</v>
      </c>
      <c r="R247">
        <v>4.7619047620000003</v>
      </c>
      <c r="S247">
        <v>13.188000000000001</v>
      </c>
      <c r="T247">
        <v>6.9</v>
      </c>
    </row>
    <row r="248" spans="1:20" x14ac:dyDescent="0.3">
      <c r="A248">
        <v>850</v>
      </c>
      <c r="C248">
        <v>41</v>
      </c>
      <c r="D248">
        <v>9669</v>
      </c>
      <c r="E248" t="s">
        <v>20</v>
      </c>
      <c r="F248" t="s">
        <v>21</v>
      </c>
      <c r="G248" t="s">
        <v>28</v>
      </c>
      <c r="H248" t="s">
        <v>23</v>
      </c>
      <c r="I248" t="s">
        <v>29</v>
      </c>
      <c r="J248">
        <v>75.06</v>
      </c>
      <c r="K248">
        <v>9</v>
      </c>
      <c r="L248">
        <v>33.777000000000001</v>
      </c>
      <c r="M248">
        <v>709.31700000000001</v>
      </c>
      <c r="N248" s="1">
        <v>43543</v>
      </c>
      <c r="O248" s="2">
        <v>0.55902777777777779</v>
      </c>
      <c r="P248" t="s">
        <v>25</v>
      </c>
      <c r="Q248">
        <v>675.54</v>
      </c>
      <c r="R248">
        <v>4.7619047620000003</v>
      </c>
      <c r="S248">
        <v>33.777000000000001</v>
      </c>
      <c r="T248">
        <v>6.2</v>
      </c>
    </row>
    <row r="249" spans="1:20" x14ac:dyDescent="0.3">
      <c r="A249">
        <v>821</v>
      </c>
      <c r="C249">
        <v>7</v>
      </c>
      <c r="D249">
        <v>3596</v>
      </c>
      <c r="E249" t="s">
        <v>26</v>
      </c>
      <c r="F249" t="s">
        <v>27</v>
      </c>
      <c r="G249" t="s">
        <v>28</v>
      </c>
      <c r="H249" t="s">
        <v>23</v>
      </c>
      <c r="I249" t="s">
        <v>37</v>
      </c>
      <c r="J249">
        <v>16.45</v>
      </c>
      <c r="K249">
        <v>4</v>
      </c>
      <c r="L249">
        <v>3.29</v>
      </c>
      <c r="M249">
        <v>69.09</v>
      </c>
      <c r="N249" s="1">
        <v>43531</v>
      </c>
      <c r="O249" s="2">
        <v>0.62013888888888891</v>
      </c>
      <c r="P249" t="s">
        <v>25</v>
      </c>
      <c r="Q249">
        <v>65.8</v>
      </c>
      <c r="R249">
        <v>4.7619047620000003</v>
      </c>
      <c r="S249">
        <v>3.29</v>
      </c>
      <c r="T249">
        <v>5.6</v>
      </c>
    </row>
    <row r="250" spans="1:20" x14ac:dyDescent="0.3">
      <c r="A250">
        <v>655</v>
      </c>
      <c r="C250">
        <v>85</v>
      </c>
      <c r="D250">
        <v>5130</v>
      </c>
      <c r="E250" t="s">
        <v>34</v>
      </c>
      <c r="F250" t="s">
        <v>35</v>
      </c>
      <c r="G250" t="s">
        <v>22</v>
      </c>
      <c r="H250" t="s">
        <v>23</v>
      </c>
      <c r="I250" t="s">
        <v>37</v>
      </c>
      <c r="J250">
        <v>38.299999999999997</v>
      </c>
      <c r="K250">
        <v>4</v>
      </c>
      <c r="L250">
        <v>7.66</v>
      </c>
      <c r="M250">
        <v>160.86000000000001</v>
      </c>
      <c r="N250" s="1">
        <v>43537</v>
      </c>
      <c r="O250" s="2">
        <v>0.80694444444444446</v>
      </c>
      <c r="P250" t="s">
        <v>30</v>
      </c>
      <c r="Q250">
        <v>153.19999999999999</v>
      </c>
      <c r="R250">
        <v>4.7619047620000003</v>
      </c>
      <c r="S250">
        <v>7.66</v>
      </c>
      <c r="T250">
        <v>5.7</v>
      </c>
    </row>
    <row r="251" spans="1:20" x14ac:dyDescent="0.3">
      <c r="A251">
        <v>447</v>
      </c>
      <c r="C251">
        <v>15</v>
      </c>
      <c r="D251">
        <v>7839</v>
      </c>
      <c r="E251" t="s">
        <v>20</v>
      </c>
      <c r="F251" t="s">
        <v>21</v>
      </c>
      <c r="G251" t="s">
        <v>22</v>
      </c>
      <c r="H251" t="s">
        <v>23</v>
      </c>
      <c r="I251" t="s">
        <v>33</v>
      </c>
      <c r="J251">
        <v>22.24</v>
      </c>
      <c r="K251">
        <v>10</v>
      </c>
      <c r="L251">
        <v>11.12</v>
      </c>
      <c r="M251">
        <v>233.52</v>
      </c>
      <c r="N251" s="1">
        <v>43505</v>
      </c>
      <c r="O251" s="2">
        <v>0.45833333333333331</v>
      </c>
      <c r="P251" t="s">
        <v>30</v>
      </c>
      <c r="Q251">
        <v>222.4</v>
      </c>
      <c r="R251">
        <v>4.7619047620000003</v>
      </c>
      <c r="S251">
        <v>11.12</v>
      </c>
      <c r="T251">
        <v>4.2</v>
      </c>
    </row>
    <row r="252" spans="1:20" x14ac:dyDescent="0.3">
      <c r="A252">
        <v>154</v>
      </c>
      <c r="C252">
        <v>74</v>
      </c>
      <c r="D252">
        <v>7179</v>
      </c>
      <c r="E252" t="s">
        <v>34</v>
      </c>
      <c r="F252" t="s">
        <v>35</v>
      </c>
      <c r="G252" t="s">
        <v>28</v>
      </c>
      <c r="H252" t="s">
        <v>38</v>
      </c>
      <c r="I252" t="s">
        <v>33</v>
      </c>
      <c r="J252">
        <v>54.45</v>
      </c>
      <c r="K252">
        <v>1</v>
      </c>
      <c r="L252">
        <v>2.7225000000000001</v>
      </c>
      <c r="M252">
        <v>57.172499999999999</v>
      </c>
      <c r="N252" s="1">
        <v>43522</v>
      </c>
      <c r="O252" s="2">
        <v>0.80833333333333335</v>
      </c>
      <c r="P252" t="s">
        <v>25</v>
      </c>
      <c r="Q252">
        <v>54.45</v>
      </c>
      <c r="R252">
        <v>4.7619047620000003</v>
      </c>
      <c r="S252">
        <v>2.7225000000000001</v>
      </c>
      <c r="T252">
        <v>7.9</v>
      </c>
    </row>
    <row r="253" spans="1:20" x14ac:dyDescent="0.3">
      <c r="A253">
        <v>253</v>
      </c>
      <c r="C253">
        <v>12</v>
      </c>
      <c r="D253">
        <v>6086</v>
      </c>
      <c r="E253" t="s">
        <v>20</v>
      </c>
      <c r="F253" t="s">
        <v>21</v>
      </c>
      <c r="G253" t="s">
        <v>22</v>
      </c>
      <c r="H253" t="s">
        <v>23</v>
      </c>
      <c r="I253" t="s">
        <v>33</v>
      </c>
      <c r="J253">
        <v>98.4</v>
      </c>
      <c r="K253">
        <v>7</v>
      </c>
      <c r="L253">
        <v>34.44</v>
      </c>
      <c r="M253">
        <v>723.24</v>
      </c>
      <c r="N253" s="1">
        <v>43536</v>
      </c>
      <c r="O253" s="2">
        <v>0.52986111111111112</v>
      </c>
      <c r="P253" t="s">
        <v>32</v>
      </c>
      <c r="Q253">
        <v>688.8</v>
      </c>
      <c r="R253">
        <v>4.7619047620000003</v>
      </c>
      <c r="S253">
        <v>34.44</v>
      </c>
      <c r="T253">
        <v>8.6999999999999993</v>
      </c>
    </row>
    <row r="254" spans="1:20" x14ac:dyDescent="0.3">
      <c r="A254">
        <v>808</v>
      </c>
      <c r="C254">
        <v>65</v>
      </c>
      <c r="D254">
        <v>703</v>
      </c>
      <c r="E254" t="s">
        <v>26</v>
      </c>
      <c r="F254" t="s">
        <v>27</v>
      </c>
      <c r="G254" t="s">
        <v>28</v>
      </c>
      <c r="H254" t="s">
        <v>38</v>
      </c>
      <c r="I254" t="s">
        <v>31</v>
      </c>
      <c r="J254">
        <v>35.47</v>
      </c>
      <c r="K254">
        <v>4</v>
      </c>
      <c r="L254">
        <v>7.0940000000000003</v>
      </c>
      <c r="M254">
        <v>148.97399999999999</v>
      </c>
      <c r="N254" s="1">
        <v>43538</v>
      </c>
      <c r="O254" s="2">
        <v>0.72361111111111109</v>
      </c>
      <c r="P254" t="s">
        <v>32</v>
      </c>
      <c r="Q254">
        <v>141.88</v>
      </c>
      <c r="R254">
        <v>4.7619047620000003</v>
      </c>
      <c r="S254">
        <v>7.0940000000000003</v>
      </c>
      <c r="T254">
        <v>6.9</v>
      </c>
    </row>
    <row r="255" spans="1:20" x14ac:dyDescent="0.3">
      <c r="A255">
        <v>571</v>
      </c>
      <c r="C255">
        <v>94</v>
      </c>
      <c r="D255">
        <v>759</v>
      </c>
      <c r="E255" t="s">
        <v>34</v>
      </c>
      <c r="F255" t="s">
        <v>35</v>
      </c>
      <c r="G255" t="s">
        <v>22</v>
      </c>
      <c r="H255" t="s">
        <v>23</v>
      </c>
      <c r="I255" t="s">
        <v>36</v>
      </c>
      <c r="J255">
        <v>74.599999999999994</v>
      </c>
      <c r="K255">
        <v>10</v>
      </c>
      <c r="L255">
        <v>37.299999999999997</v>
      </c>
      <c r="M255">
        <v>783.3</v>
      </c>
      <c r="N255" s="1">
        <v>43473</v>
      </c>
      <c r="O255" s="2">
        <v>0.87152777777777779</v>
      </c>
      <c r="P255" t="s">
        <v>30</v>
      </c>
      <c r="Q255">
        <v>746</v>
      </c>
      <c r="R255">
        <v>4.7619047620000003</v>
      </c>
      <c r="S255">
        <v>37.299999999999997</v>
      </c>
      <c r="T255">
        <v>9.5</v>
      </c>
    </row>
    <row r="256" spans="1:20" x14ac:dyDescent="0.3">
      <c r="A256">
        <v>731</v>
      </c>
      <c r="C256">
        <v>14</v>
      </c>
      <c r="D256">
        <v>2199</v>
      </c>
      <c r="E256" t="s">
        <v>20</v>
      </c>
      <c r="F256" t="s">
        <v>21</v>
      </c>
      <c r="G256" t="s">
        <v>22</v>
      </c>
      <c r="H256" t="s">
        <v>23</v>
      </c>
      <c r="I256" t="s">
        <v>31</v>
      </c>
      <c r="J256">
        <v>35.54</v>
      </c>
      <c r="K256">
        <v>10</v>
      </c>
      <c r="L256">
        <v>17.77</v>
      </c>
      <c r="M256">
        <v>373.17</v>
      </c>
      <c r="N256" s="1">
        <v>43469</v>
      </c>
      <c r="O256" s="2">
        <v>0.56527777777777777</v>
      </c>
      <c r="P256" t="s">
        <v>25</v>
      </c>
      <c r="Q256">
        <v>355.4</v>
      </c>
      <c r="R256">
        <v>4.7619047620000003</v>
      </c>
      <c r="S256">
        <v>17.77</v>
      </c>
      <c r="T256">
        <v>7</v>
      </c>
    </row>
    <row r="257" spans="1:20" x14ac:dyDescent="0.3">
      <c r="A257">
        <v>783</v>
      </c>
      <c r="C257">
        <v>9</v>
      </c>
      <c r="D257">
        <v>1637</v>
      </c>
      <c r="E257" t="s">
        <v>34</v>
      </c>
      <c r="F257" t="s">
        <v>35</v>
      </c>
      <c r="G257" t="s">
        <v>28</v>
      </c>
      <c r="H257" t="s">
        <v>23</v>
      </c>
      <c r="I257" t="s">
        <v>33</v>
      </c>
      <c r="J257">
        <v>67.430000000000007</v>
      </c>
      <c r="K257">
        <v>5</v>
      </c>
      <c r="L257">
        <v>16.857500000000002</v>
      </c>
      <c r="M257">
        <v>354.00749999999999</v>
      </c>
      <c r="N257" s="1">
        <v>43530</v>
      </c>
      <c r="O257" s="2">
        <v>0.75902777777777775</v>
      </c>
      <c r="P257" t="s">
        <v>25</v>
      </c>
      <c r="Q257">
        <v>337.15</v>
      </c>
      <c r="R257">
        <v>4.7619047620000003</v>
      </c>
      <c r="S257">
        <v>16.857500000000002</v>
      </c>
      <c r="T257">
        <v>6.3</v>
      </c>
    </row>
    <row r="258" spans="1:20" x14ac:dyDescent="0.3">
      <c r="A258">
        <v>687</v>
      </c>
      <c r="C258">
        <v>15</v>
      </c>
      <c r="D258">
        <v>1097</v>
      </c>
      <c r="E258" t="s">
        <v>26</v>
      </c>
      <c r="F258" t="s">
        <v>27</v>
      </c>
      <c r="G258" t="s">
        <v>22</v>
      </c>
      <c r="H258" t="s">
        <v>23</v>
      </c>
      <c r="I258" t="s">
        <v>24</v>
      </c>
      <c r="J258">
        <v>21.12</v>
      </c>
      <c r="K258">
        <v>2</v>
      </c>
      <c r="L258">
        <v>2.1120000000000001</v>
      </c>
      <c r="M258">
        <v>44.351999999999997</v>
      </c>
      <c r="N258" s="1">
        <v>43468</v>
      </c>
      <c r="O258" s="2">
        <v>0.80347222222222225</v>
      </c>
      <c r="P258" t="s">
        <v>30</v>
      </c>
      <c r="Q258">
        <v>42.24</v>
      </c>
      <c r="R258">
        <v>4.7619047620000003</v>
      </c>
      <c r="S258">
        <v>2.1120000000000001</v>
      </c>
      <c r="T258">
        <v>9.6999999999999993</v>
      </c>
    </row>
    <row r="259" spans="1:20" x14ac:dyDescent="0.3">
      <c r="A259">
        <v>126</v>
      </c>
      <c r="C259">
        <v>54</v>
      </c>
      <c r="D259">
        <v>1082</v>
      </c>
      <c r="E259" t="s">
        <v>20</v>
      </c>
      <c r="F259" t="s">
        <v>21</v>
      </c>
      <c r="G259" t="s">
        <v>22</v>
      </c>
      <c r="H259" t="s">
        <v>23</v>
      </c>
      <c r="I259" t="s">
        <v>31</v>
      </c>
      <c r="J259">
        <v>21.54</v>
      </c>
      <c r="K259">
        <v>9</v>
      </c>
      <c r="L259">
        <v>9.6929999999999996</v>
      </c>
      <c r="M259">
        <v>203.553</v>
      </c>
      <c r="N259" s="1">
        <v>43472</v>
      </c>
      <c r="O259" s="2">
        <v>0.48888888888888887</v>
      </c>
      <c r="P259" t="s">
        <v>32</v>
      </c>
      <c r="Q259">
        <v>193.86</v>
      </c>
      <c r="R259">
        <v>4.7619047620000003</v>
      </c>
      <c r="S259">
        <v>9.6929999999999996</v>
      </c>
      <c r="T259">
        <v>8.8000000000000007</v>
      </c>
    </row>
    <row r="260" spans="1:20" x14ac:dyDescent="0.3">
      <c r="A260">
        <v>633</v>
      </c>
      <c r="C260">
        <v>91</v>
      </c>
      <c r="D260">
        <v>1052</v>
      </c>
      <c r="E260" t="s">
        <v>20</v>
      </c>
      <c r="F260" t="s">
        <v>21</v>
      </c>
      <c r="G260" t="s">
        <v>28</v>
      </c>
      <c r="H260" t="s">
        <v>23</v>
      </c>
      <c r="I260" t="s">
        <v>31</v>
      </c>
      <c r="J260">
        <v>12.03</v>
      </c>
      <c r="K260">
        <v>2</v>
      </c>
      <c r="L260">
        <v>1.2030000000000001</v>
      </c>
      <c r="M260">
        <v>25.263000000000002</v>
      </c>
      <c r="N260" s="1">
        <v>43492</v>
      </c>
      <c r="O260" s="2">
        <v>0.66041666666666665</v>
      </c>
      <c r="P260" t="s">
        <v>30</v>
      </c>
      <c r="Q260">
        <v>24.06</v>
      </c>
      <c r="R260">
        <v>4.7619047620000003</v>
      </c>
      <c r="S260">
        <v>1.2030000000000001</v>
      </c>
      <c r="T260">
        <v>5.0999999999999996</v>
      </c>
    </row>
    <row r="261" spans="1:20" x14ac:dyDescent="0.3">
      <c r="A261">
        <v>477</v>
      </c>
      <c r="C261">
        <v>24</v>
      </c>
      <c r="D261">
        <v>6490</v>
      </c>
      <c r="E261" t="s">
        <v>34</v>
      </c>
      <c r="F261" t="s">
        <v>35</v>
      </c>
      <c r="G261" t="s">
        <v>28</v>
      </c>
      <c r="H261" t="s">
        <v>23</v>
      </c>
      <c r="I261" t="s">
        <v>24</v>
      </c>
      <c r="J261">
        <v>99.71</v>
      </c>
      <c r="K261">
        <v>6</v>
      </c>
      <c r="L261">
        <v>29.913</v>
      </c>
      <c r="M261">
        <v>628.173</v>
      </c>
      <c r="N261" s="1">
        <v>43522</v>
      </c>
      <c r="O261" s="2">
        <v>0.70277777777777772</v>
      </c>
      <c r="P261" t="s">
        <v>25</v>
      </c>
      <c r="Q261">
        <v>598.26</v>
      </c>
      <c r="R261">
        <v>4.7619047620000003</v>
      </c>
      <c r="S261">
        <v>29.913</v>
      </c>
      <c r="T261">
        <v>7.9</v>
      </c>
    </row>
    <row r="262" spans="1:20" x14ac:dyDescent="0.3">
      <c r="A262">
        <v>566</v>
      </c>
      <c r="C262">
        <v>19</v>
      </c>
      <c r="D262">
        <v>5475</v>
      </c>
      <c r="E262" t="s">
        <v>34</v>
      </c>
      <c r="F262" t="s">
        <v>35</v>
      </c>
      <c r="G262" t="s">
        <v>28</v>
      </c>
      <c r="H262" t="s">
        <v>38</v>
      </c>
      <c r="I262" t="s">
        <v>37</v>
      </c>
      <c r="J262">
        <v>47.97</v>
      </c>
      <c r="K262">
        <v>7</v>
      </c>
      <c r="L262">
        <v>16.7895</v>
      </c>
      <c r="M262">
        <v>352.5795</v>
      </c>
      <c r="N262" s="1">
        <v>43472</v>
      </c>
      <c r="O262" s="2">
        <v>0.86944444444444446</v>
      </c>
      <c r="P262" t="s">
        <v>30</v>
      </c>
      <c r="Q262">
        <v>335.79</v>
      </c>
      <c r="R262">
        <v>4.7619047620000003</v>
      </c>
      <c r="S262">
        <v>16.7895</v>
      </c>
      <c r="T262">
        <v>6.2</v>
      </c>
    </row>
    <row r="263" spans="1:20" x14ac:dyDescent="0.3">
      <c r="A263">
        <v>526</v>
      </c>
      <c r="C263">
        <v>86</v>
      </c>
      <c r="D263">
        <v>8552</v>
      </c>
      <c r="E263" t="s">
        <v>26</v>
      </c>
      <c r="F263" t="s">
        <v>27</v>
      </c>
      <c r="G263" t="s">
        <v>22</v>
      </c>
      <c r="H263" t="s">
        <v>23</v>
      </c>
      <c r="I263" t="s">
        <v>31</v>
      </c>
      <c r="J263">
        <v>21.82</v>
      </c>
      <c r="K263">
        <v>10</v>
      </c>
      <c r="L263">
        <v>10.91</v>
      </c>
      <c r="M263">
        <v>229.11</v>
      </c>
      <c r="N263" s="1">
        <v>43472</v>
      </c>
      <c r="O263" s="2">
        <v>0.73333333333333328</v>
      </c>
      <c r="P263" t="s">
        <v>30</v>
      </c>
      <c r="Q263">
        <v>218.2</v>
      </c>
      <c r="R263">
        <v>4.7619047620000003</v>
      </c>
      <c r="S263">
        <v>10.91</v>
      </c>
      <c r="T263">
        <v>7.1</v>
      </c>
    </row>
    <row r="264" spans="1:20" x14ac:dyDescent="0.3">
      <c r="A264">
        <v>376</v>
      </c>
      <c r="C264">
        <v>56</v>
      </c>
      <c r="D264">
        <v>3573</v>
      </c>
      <c r="E264" t="s">
        <v>26</v>
      </c>
      <c r="F264" t="s">
        <v>27</v>
      </c>
      <c r="G264" t="s">
        <v>28</v>
      </c>
      <c r="H264" t="s">
        <v>23</v>
      </c>
      <c r="I264" t="s">
        <v>37</v>
      </c>
      <c r="J264">
        <v>95.42</v>
      </c>
      <c r="K264">
        <v>4</v>
      </c>
      <c r="L264">
        <v>19.084</v>
      </c>
      <c r="M264">
        <v>400.76400000000001</v>
      </c>
      <c r="N264" s="1">
        <v>43498</v>
      </c>
      <c r="O264" s="2">
        <v>0.55763888888888891</v>
      </c>
      <c r="P264" t="s">
        <v>25</v>
      </c>
      <c r="Q264">
        <v>381.68</v>
      </c>
      <c r="R264">
        <v>4.7619047620000003</v>
      </c>
      <c r="S264">
        <v>19.084</v>
      </c>
      <c r="T264">
        <v>6.4</v>
      </c>
    </row>
    <row r="265" spans="1:20" x14ac:dyDescent="0.3">
      <c r="A265">
        <v>537</v>
      </c>
      <c r="C265">
        <v>72</v>
      </c>
      <c r="D265">
        <v>426</v>
      </c>
      <c r="E265" t="s">
        <v>26</v>
      </c>
      <c r="F265" t="s">
        <v>27</v>
      </c>
      <c r="G265" t="s">
        <v>22</v>
      </c>
      <c r="H265" t="s">
        <v>38</v>
      </c>
      <c r="I265" t="s">
        <v>37</v>
      </c>
      <c r="J265">
        <v>70.989999999999995</v>
      </c>
      <c r="K265">
        <v>10</v>
      </c>
      <c r="L265">
        <v>35.494999999999997</v>
      </c>
      <c r="M265">
        <v>745.39499999999998</v>
      </c>
      <c r="N265" s="1">
        <v>43544</v>
      </c>
      <c r="O265" s="2">
        <v>0.68611111111111112</v>
      </c>
      <c r="P265" t="s">
        <v>30</v>
      </c>
      <c r="Q265">
        <v>709.9</v>
      </c>
      <c r="R265">
        <v>4.7619047620000003</v>
      </c>
      <c r="S265">
        <v>35.494999999999997</v>
      </c>
      <c r="T265">
        <v>5.7</v>
      </c>
    </row>
    <row r="266" spans="1:20" x14ac:dyDescent="0.3">
      <c r="A266">
        <v>828</v>
      </c>
      <c r="C266">
        <v>61</v>
      </c>
      <c r="D266">
        <v>5674</v>
      </c>
      <c r="E266" t="s">
        <v>20</v>
      </c>
      <c r="F266" t="s">
        <v>21</v>
      </c>
      <c r="G266" t="s">
        <v>22</v>
      </c>
      <c r="H266" t="s">
        <v>38</v>
      </c>
      <c r="I266" t="s">
        <v>33</v>
      </c>
      <c r="J266">
        <v>44.02</v>
      </c>
      <c r="K266">
        <v>10</v>
      </c>
      <c r="L266">
        <v>22.01</v>
      </c>
      <c r="M266">
        <v>462.21</v>
      </c>
      <c r="N266" s="1">
        <v>43544</v>
      </c>
      <c r="O266" s="2">
        <v>0.83125000000000004</v>
      </c>
      <c r="P266" t="s">
        <v>32</v>
      </c>
      <c r="Q266">
        <v>440.2</v>
      </c>
      <c r="R266">
        <v>4.7619047620000003</v>
      </c>
      <c r="S266">
        <v>22.01</v>
      </c>
      <c r="T266">
        <v>9.6</v>
      </c>
    </row>
    <row r="267" spans="1:20" x14ac:dyDescent="0.3">
      <c r="A267">
        <v>136</v>
      </c>
      <c r="C267">
        <v>8</v>
      </c>
      <c r="D267">
        <v>6195</v>
      </c>
      <c r="E267" t="s">
        <v>20</v>
      </c>
      <c r="F267" t="s">
        <v>21</v>
      </c>
      <c r="G267" t="s">
        <v>28</v>
      </c>
      <c r="H267" t="s">
        <v>23</v>
      </c>
      <c r="I267" t="s">
        <v>31</v>
      </c>
      <c r="J267">
        <v>69.959999999999994</v>
      </c>
      <c r="K267">
        <v>8</v>
      </c>
      <c r="L267">
        <v>27.984000000000002</v>
      </c>
      <c r="M267">
        <v>587.66399999999999</v>
      </c>
      <c r="N267" s="1">
        <v>43511</v>
      </c>
      <c r="O267" s="2">
        <v>0.70902777777777781</v>
      </c>
      <c r="P267" t="s">
        <v>32</v>
      </c>
      <c r="Q267">
        <v>559.67999999999995</v>
      </c>
      <c r="R267">
        <v>4.7619047620000003</v>
      </c>
      <c r="S267">
        <v>27.984000000000002</v>
      </c>
      <c r="T267">
        <v>6.4</v>
      </c>
    </row>
    <row r="268" spans="1:20" x14ac:dyDescent="0.3">
      <c r="A268">
        <v>523</v>
      </c>
      <c r="C268">
        <v>38</v>
      </c>
      <c r="D268">
        <v>215</v>
      </c>
      <c r="E268" t="s">
        <v>26</v>
      </c>
      <c r="F268" t="s">
        <v>27</v>
      </c>
      <c r="G268" t="s">
        <v>28</v>
      </c>
      <c r="H268" t="s">
        <v>38</v>
      </c>
      <c r="I268" t="s">
        <v>31</v>
      </c>
      <c r="J268">
        <v>37</v>
      </c>
      <c r="K268">
        <v>1</v>
      </c>
      <c r="L268">
        <v>1.85</v>
      </c>
      <c r="M268">
        <v>38.85</v>
      </c>
      <c r="N268" s="1">
        <v>43530</v>
      </c>
      <c r="O268" s="2">
        <v>0.56180555555555556</v>
      </c>
      <c r="P268" t="s">
        <v>32</v>
      </c>
      <c r="Q268">
        <v>37</v>
      </c>
      <c r="R268">
        <v>4.7619047620000003</v>
      </c>
      <c r="S268">
        <v>1.85</v>
      </c>
      <c r="T268">
        <v>7.9</v>
      </c>
    </row>
    <row r="269" spans="1:20" x14ac:dyDescent="0.3">
      <c r="A269">
        <v>490</v>
      </c>
      <c r="C269">
        <v>29</v>
      </c>
      <c r="D269">
        <v>1201</v>
      </c>
      <c r="E269" t="s">
        <v>20</v>
      </c>
      <c r="F269" t="s">
        <v>21</v>
      </c>
      <c r="G269" t="s">
        <v>28</v>
      </c>
      <c r="H269" t="s">
        <v>23</v>
      </c>
      <c r="I269" t="s">
        <v>33</v>
      </c>
      <c r="J269">
        <v>15.34</v>
      </c>
      <c r="K269">
        <v>1</v>
      </c>
      <c r="L269">
        <v>0.76700000000000002</v>
      </c>
      <c r="M269">
        <v>16.106999999999999</v>
      </c>
      <c r="N269" s="1">
        <v>43471</v>
      </c>
      <c r="O269" s="2">
        <v>0.46458333333333335</v>
      </c>
      <c r="P269" t="s">
        <v>30</v>
      </c>
      <c r="Q269">
        <v>15.34</v>
      </c>
      <c r="R269">
        <v>4.7619047620000003</v>
      </c>
      <c r="S269">
        <v>0.76700000000000002</v>
      </c>
      <c r="T269">
        <v>6.5</v>
      </c>
    </row>
    <row r="270" spans="1:20" x14ac:dyDescent="0.3">
      <c r="A270">
        <v>667</v>
      </c>
      <c r="C270">
        <v>92</v>
      </c>
      <c r="D270">
        <v>55</v>
      </c>
      <c r="E270" t="s">
        <v>20</v>
      </c>
      <c r="F270" t="s">
        <v>21</v>
      </c>
      <c r="G270" t="s">
        <v>22</v>
      </c>
      <c r="H270" t="s">
        <v>38</v>
      </c>
      <c r="I270" t="s">
        <v>24</v>
      </c>
      <c r="J270">
        <v>99.83</v>
      </c>
      <c r="K270">
        <v>6</v>
      </c>
      <c r="L270">
        <v>29.949000000000002</v>
      </c>
      <c r="M270">
        <v>628.92899999999997</v>
      </c>
      <c r="N270" s="1">
        <v>43528</v>
      </c>
      <c r="O270" s="2">
        <v>0.62638888888888888</v>
      </c>
      <c r="P270" t="s">
        <v>25</v>
      </c>
      <c r="Q270">
        <v>598.98</v>
      </c>
      <c r="R270">
        <v>4.7619047620000003</v>
      </c>
      <c r="S270">
        <v>29.949000000000002</v>
      </c>
      <c r="T270">
        <v>8.5</v>
      </c>
    </row>
    <row r="271" spans="1:20" x14ac:dyDescent="0.3">
      <c r="A271">
        <v>565</v>
      </c>
      <c r="C271">
        <v>17</v>
      </c>
      <c r="D271">
        <v>3836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>
        <v>47.67</v>
      </c>
      <c r="K271">
        <v>4</v>
      </c>
      <c r="L271">
        <v>9.5340000000000007</v>
      </c>
      <c r="M271">
        <v>200.214</v>
      </c>
      <c r="N271" s="1">
        <v>43536</v>
      </c>
      <c r="O271" s="2">
        <v>0.59791666666666665</v>
      </c>
      <c r="P271" t="s">
        <v>30</v>
      </c>
      <c r="Q271">
        <v>190.68</v>
      </c>
      <c r="R271">
        <v>4.7619047620000003</v>
      </c>
      <c r="S271">
        <v>9.5340000000000007</v>
      </c>
      <c r="T271">
        <v>9.1</v>
      </c>
    </row>
    <row r="272" spans="1:20" x14ac:dyDescent="0.3">
      <c r="A272">
        <v>498</v>
      </c>
      <c r="C272">
        <v>41</v>
      </c>
      <c r="D272">
        <v>1961</v>
      </c>
      <c r="E272" t="s">
        <v>34</v>
      </c>
      <c r="F272" t="s">
        <v>35</v>
      </c>
      <c r="G272" t="s">
        <v>28</v>
      </c>
      <c r="H272" t="s">
        <v>38</v>
      </c>
      <c r="I272" t="s">
        <v>24</v>
      </c>
      <c r="J272">
        <v>66.680000000000007</v>
      </c>
      <c r="K272">
        <v>5</v>
      </c>
      <c r="L272">
        <v>16.670000000000002</v>
      </c>
      <c r="M272">
        <v>350.07</v>
      </c>
      <c r="N272" s="1">
        <v>43516</v>
      </c>
      <c r="O272" s="2">
        <v>0.75069444444444444</v>
      </c>
      <c r="P272" t="s">
        <v>30</v>
      </c>
      <c r="Q272">
        <v>333.4</v>
      </c>
      <c r="R272">
        <v>4.7619047620000003</v>
      </c>
      <c r="S272">
        <v>16.670000000000002</v>
      </c>
      <c r="T272">
        <v>7.6</v>
      </c>
    </row>
    <row r="273" spans="1:20" x14ac:dyDescent="0.3">
      <c r="A273">
        <v>593</v>
      </c>
      <c r="C273">
        <v>95</v>
      </c>
      <c r="D273">
        <v>4461</v>
      </c>
      <c r="E273" t="s">
        <v>26</v>
      </c>
      <c r="F273" t="s">
        <v>27</v>
      </c>
      <c r="G273" t="s">
        <v>22</v>
      </c>
      <c r="H273" t="s">
        <v>38</v>
      </c>
      <c r="I273" t="s">
        <v>31</v>
      </c>
      <c r="J273">
        <v>74.86</v>
      </c>
      <c r="K273">
        <v>1</v>
      </c>
      <c r="L273">
        <v>3.7429999999999999</v>
      </c>
      <c r="M273">
        <v>78.602999999999994</v>
      </c>
      <c r="N273" s="1">
        <v>43548</v>
      </c>
      <c r="O273" s="2">
        <v>0.61736111111111114</v>
      </c>
      <c r="P273" t="s">
        <v>30</v>
      </c>
      <c r="Q273">
        <v>74.86</v>
      </c>
      <c r="R273">
        <v>4.7619047620000003</v>
      </c>
      <c r="S273">
        <v>3.7429999999999999</v>
      </c>
      <c r="T273">
        <v>6.9</v>
      </c>
    </row>
    <row r="274" spans="1:20" x14ac:dyDescent="0.3">
      <c r="A274">
        <v>226</v>
      </c>
      <c r="C274">
        <v>71</v>
      </c>
      <c r="D274">
        <v>3580</v>
      </c>
      <c r="E274" t="s">
        <v>26</v>
      </c>
      <c r="F274" t="s">
        <v>27</v>
      </c>
      <c r="G274" t="s">
        <v>28</v>
      </c>
      <c r="H274" t="s">
        <v>23</v>
      </c>
      <c r="I274" t="s">
        <v>33</v>
      </c>
      <c r="J274">
        <v>23.75</v>
      </c>
      <c r="K274">
        <v>9</v>
      </c>
      <c r="L274">
        <v>10.6875</v>
      </c>
      <c r="M274">
        <v>224.4375</v>
      </c>
      <c r="N274" s="1">
        <v>43496</v>
      </c>
      <c r="O274" s="2">
        <v>0.50138888888888888</v>
      </c>
      <c r="P274" t="s">
        <v>30</v>
      </c>
      <c r="Q274">
        <v>213.75</v>
      </c>
      <c r="R274">
        <v>4.7619047620000003</v>
      </c>
      <c r="S274">
        <v>10.6875</v>
      </c>
      <c r="T274">
        <v>9.5</v>
      </c>
    </row>
    <row r="275" spans="1:20" x14ac:dyDescent="0.3">
      <c r="A275">
        <v>283</v>
      </c>
      <c r="C275">
        <v>79</v>
      </c>
      <c r="D275">
        <v>9594</v>
      </c>
      <c r="E275" t="s">
        <v>34</v>
      </c>
      <c r="F275" t="s">
        <v>35</v>
      </c>
      <c r="G275" t="s">
        <v>28</v>
      </c>
      <c r="H275" t="s">
        <v>23</v>
      </c>
      <c r="I275" t="s">
        <v>36</v>
      </c>
      <c r="J275">
        <v>48.51</v>
      </c>
      <c r="K275">
        <v>7</v>
      </c>
      <c r="L275">
        <v>16.9785</v>
      </c>
      <c r="M275">
        <v>356.54849999999999</v>
      </c>
      <c r="N275" s="1">
        <v>43490</v>
      </c>
      <c r="O275" s="2">
        <v>0.5625</v>
      </c>
      <c r="P275" t="s">
        <v>32</v>
      </c>
      <c r="Q275">
        <v>339.57</v>
      </c>
      <c r="R275">
        <v>4.7619047620000003</v>
      </c>
      <c r="S275">
        <v>16.9785</v>
      </c>
      <c r="T275">
        <v>5.2</v>
      </c>
    </row>
    <row r="276" spans="1:20" x14ac:dyDescent="0.3">
      <c r="A276">
        <v>430</v>
      </c>
      <c r="C276">
        <v>60</v>
      </c>
      <c r="D276">
        <v>3493</v>
      </c>
      <c r="E276" t="s">
        <v>20</v>
      </c>
      <c r="F276" t="s">
        <v>21</v>
      </c>
      <c r="G276" t="s">
        <v>22</v>
      </c>
      <c r="H276" t="s">
        <v>23</v>
      </c>
      <c r="I276" t="s">
        <v>31</v>
      </c>
      <c r="J276">
        <v>94.88</v>
      </c>
      <c r="K276">
        <v>7</v>
      </c>
      <c r="L276">
        <v>33.207999999999998</v>
      </c>
      <c r="M276">
        <v>697.36800000000005</v>
      </c>
      <c r="N276" s="1">
        <v>43499</v>
      </c>
      <c r="O276" s="2">
        <v>0.60972222222222228</v>
      </c>
      <c r="P276" t="s">
        <v>30</v>
      </c>
      <c r="Q276">
        <v>664.16</v>
      </c>
      <c r="R276">
        <v>4.7619047620000003</v>
      </c>
      <c r="S276">
        <v>33.207999999999998</v>
      </c>
      <c r="T276">
        <v>4.2</v>
      </c>
    </row>
    <row r="277" spans="1:20" x14ac:dyDescent="0.3">
      <c r="A277">
        <v>139</v>
      </c>
      <c r="C277">
        <v>20</v>
      </c>
      <c r="D277">
        <v>155</v>
      </c>
      <c r="E277" t="s">
        <v>34</v>
      </c>
      <c r="F277" t="s">
        <v>35</v>
      </c>
      <c r="G277" t="s">
        <v>22</v>
      </c>
      <c r="H277" t="s">
        <v>38</v>
      </c>
      <c r="I277" t="s">
        <v>29</v>
      </c>
      <c r="J277">
        <v>40.299999999999997</v>
      </c>
      <c r="K277">
        <v>10</v>
      </c>
      <c r="L277">
        <v>20.149999999999999</v>
      </c>
      <c r="M277">
        <v>423.15</v>
      </c>
      <c r="N277" s="1">
        <v>43489</v>
      </c>
      <c r="O277" s="2">
        <v>0.73402777777777772</v>
      </c>
      <c r="P277" t="s">
        <v>32</v>
      </c>
      <c r="Q277">
        <v>403</v>
      </c>
      <c r="R277">
        <v>4.7619047620000003</v>
      </c>
      <c r="S277">
        <v>20.149999999999999</v>
      </c>
      <c r="T277">
        <v>7</v>
      </c>
    </row>
    <row r="278" spans="1:20" x14ac:dyDescent="0.3">
      <c r="A278">
        <v>558</v>
      </c>
      <c r="C278">
        <v>80</v>
      </c>
      <c r="D278">
        <v>4082</v>
      </c>
      <c r="E278" t="s">
        <v>26</v>
      </c>
      <c r="F278" t="s">
        <v>27</v>
      </c>
      <c r="G278" t="s">
        <v>28</v>
      </c>
      <c r="H278" t="s">
        <v>38</v>
      </c>
      <c r="I278" t="s">
        <v>29</v>
      </c>
      <c r="J278">
        <v>27.85</v>
      </c>
      <c r="K278">
        <v>7</v>
      </c>
      <c r="L278">
        <v>9.7475000000000005</v>
      </c>
      <c r="M278">
        <v>204.69749999999999</v>
      </c>
      <c r="N278" s="1">
        <v>43538</v>
      </c>
      <c r="O278" s="2">
        <v>0.72222222222222221</v>
      </c>
      <c r="P278" t="s">
        <v>25</v>
      </c>
      <c r="Q278">
        <v>194.95</v>
      </c>
      <c r="R278">
        <v>4.7619047620000003</v>
      </c>
      <c r="S278">
        <v>9.7475000000000005</v>
      </c>
      <c r="T278">
        <v>6</v>
      </c>
    </row>
    <row r="279" spans="1:20" x14ac:dyDescent="0.3">
      <c r="A279">
        <v>278</v>
      </c>
      <c r="C279">
        <v>97</v>
      </c>
      <c r="D279">
        <v>7759</v>
      </c>
      <c r="E279" t="s">
        <v>20</v>
      </c>
      <c r="F279" t="s">
        <v>21</v>
      </c>
      <c r="G279" t="s">
        <v>22</v>
      </c>
      <c r="H279" t="s">
        <v>23</v>
      </c>
      <c r="I279" t="s">
        <v>29</v>
      </c>
      <c r="J279">
        <v>62.48</v>
      </c>
      <c r="K279">
        <v>1</v>
      </c>
      <c r="L279">
        <v>3.1240000000000001</v>
      </c>
      <c r="M279">
        <v>65.603999999999999</v>
      </c>
      <c r="N279" s="1">
        <v>43514</v>
      </c>
      <c r="O279" s="2">
        <v>0.85347222222222219</v>
      </c>
      <c r="P279" t="s">
        <v>30</v>
      </c>
      <c r="Q279">
        <v>62.48</v>
      </c>
      <c r="R279">
        <v>4.7619047620000003</v>
      </c>
      <c r="S279">
        <v>3.1240000000000001</v>
      </c>
      <c r="T279">
        <v>4.7</v>
      </c>
    </row>
    <row r="280" spans="1:20" x14ac:dyDescent="0.3">
      <c r="A280">
        <v>316</v>
      </c>
      <c r="C280">
        <v>68</v>
      </c>
      <c r="D280">
        <v>6352</v>
      </c>
      <c r="E280" t="s">
        <v>20</v>
      </c>
      <c r="F280" t="s">
        <v>21</v>
      </c>
      <c r="G280" t="s">
        <v>22</v>
      </c>
      <c r="H280" t="s">
        <v>23</v>
      </c>
      <c r="I280" t="s">
        <v>36</v>
      </c>
      <c r="J280">
        <v>36.36</v>
      </c>
      <c r="K280">
        <v>2</v>
      </c>
      <c r="L280">
        <v>3.6360000000000001</v>
      </c>
      <c r="M280">
        <v>76.355999999999995</v>
      </c>
      <c r="N280" s="1">
        <v>43486</v>
      </c>
      <c r="O280" s="2">
        <v>0.41666666666666669</v>
      </c>
      <c r="P280" t="s">
        <v>30</v>
      </c>
      <c r="Q280">
        <v>72.72</v>
      </c>
      <c r="R280">
        <v>4.7619047620000003</v>
      </c>
      <c r="S280">
        <v>3.6360000000000001</v>
      </c>
      <c r="T280">
        <v>7.1</v>
      </c>
    </row>
    <row r="281" spans="1:20" x14ac:dyDescent="0.3">
      <c r="A281">
        <v>585</v>
      </c>
      <c r="C281">
        <v>3</v>
      </c>
      <c r="D281">
        <v>5943</v>
      </c>
      <c r="E281" t="s">
        <v>34</v>
      </c>
      <c r="F281" t="s">
        <v>35</v>
      </c>
      <c r="G281" t="s">
        <v>28</v>
      </c>
      <c r="H281" t="s">
        <v>38</v>
      </c>
      <c r="I281" t="s">
        <v>24</v>
      </c>
      <c r="J281">
        <v>18.11</v>
      </c>
      <c r="K281">
        <v>10</v>
      </c>
      <c r="L281">
        <v>9.0549999999999997</v>
      </c>
      <c r="M281">
        <v>190.155</v>
      </c>
      <c r="N281" s="1">
        <v>43537</v>
      </c>
      <c r="O281" s="2">
        <v>0.49027777777777776</v>
      </c>
      <c r="P281" t="s">
        <v>25</v>
      </c>
      <c r="Q281">
        <v>181.1</v>
      </c>
      <c r="R281">
        <v>4.7619047620000003</v>
      </c>
      <c r="S281">
        <v>9.0549999999999997</v>
      </c>
      <c r="T281">
        <v>5.9</v>
      </c>
    </row>
    <row r="282" spans="1:20" x14ac:dyDescent="0.3">
      <c r="A282">
        <v>727</v>
      </c>
      <c r="C282">
        <v>75</v>
      </c>
      <c r="D282">
        <v>6477</v>
      </c>
      <c r="E282" t="s">
        <v>26</v>
      </c>
      <c r="F282" t="s">
        <v>27</v>
      </c>
      <c r="G282" t="s">
        <v>28</v>
      </c>
      <c r="H282" t="s">
        <v>38</v>
      </c>
      <c r="I282" t="s">
        <v>29</v>
      </c>
      <c r="J282">
        <v>28.84</v>
      </c>
      <c r="K282">
        <v>4</v>
      </c>
      <c r="L282">
        <v>5.7679999999999998</v>
      </c>
      <c r="M282">
        <v>121.128</v>
      </c>
      <c r="N282" s="1">
        <v>43553</v>
      </c>
      <c r="O282" s="2">
        <v>0.61388888888888893</v>
      </c>
      <c r="P282" t="s">
        <v>30</v>
      </c>
      <c r="Q282">
        <v>115.36</v>
      </c>
      <c r="R282">
        <v>4.7619047620000003</v>
      </c>
      <c r="S282">
        <v>5.7679999999999998</v>
      </c>
      <c r="T282">
        <v>6.4</v>
      </c>
    </row>
    <row r="283" spans="1:20" x14ac:dyDescent="0.3">
      <c r="A283">
        <v>744</v>
      </c>
      <c r="C283">
        <v>2</v>
      </c>
      <c r="D283">
        <v>5987</v>
      </c>
      <c r="E283" t="s">
        <v>20</v>
      </c>
      <c r="F283" t="s">
        <v>21</v>
      </c>
      <c r="G283" t="s">
        <v>22</v>
      </c>
      <c r="H283" t="s">
        <v>38</v>
      </c>
      <c r="I283" t="s">
        <v>31</v>
      </c>
      <c r="J283">
        <v>78.38</v>
      </c>
      <c r="K283">
        <v>6</v>
      </c>
      <c r="L283">
        <v>23.513999999999999</v>
      </c>
      <c r="M283">
        <v>493.79399999999998</v>
      </c>
      <c r="N283" s="1">
        <v>43475</v>
      </c>
      <c r="O283" s="2">
        <v>0.59444444444444444</v>
      </c>
      <c r="P283" t="s">
        <v>25</v>
      </c>
      <c r="Q283">
        <v>470.28</v>
      </c>
      <c r="R283">
        <v>4.7619047620000003</v>
      </c>
      <c r="S283">
        <v>23.513999999999999</v>
      </c>
      <c r="T283">
        <v>5.8</v>
      </c>
    </row>
    <row r="284" spans="1:20" x14ac:dyDescent="0.3">
      <c r="A284">
        <v>307</v>
      </c>
      <c r="C284">
        <v>83</v>
      </c>
      <c r="D284">
        <v>9164</v>
      </c>
      <c r="E284" t="s">
        <v>20</v>
      </c>
      <c r="F284" t="s">
        <v>21</v>
      </c>
      <c r="G284" t="s">
        <v>22</v>
      </c>
      <c r="H284" t="s">
        <v>38</v>
      </c>
      <c r="I284" t="s">
        <v>31</v>
      </c>
      <c r="J284">
        <v>60.01</v>
      </c>
      <c r="K284">
        <v>4</v>
      </c>
      <c r="L284">
        <v>12.002000000000001</v>
      </c>
      <c r="M284">
        <v>252.042</v>
      </c>
      <c r="N284" s="1">
        <v>43490</v>
      </c>
      <c r="O284" s="2">
        <v>0.66249999999999998</v>
      </c>
      <c r="P284" t="s">
        <v>30</v>
      </c>
      <c r="Q284">
        <v>240.04</v>
      </c>
      <c r="R284">
        <v>4.7619047620000003</v>
      </c>
      <c r="S284">
        <v>12.002000000000001</v>
      </c>
      <c r="T284">
        <v>4.5</v>
      </c>
    </row>
    <row r="285" spans="1:20" x14ac:dyDescent="0.3">
      <c r="A285">
        <v>779</v>
      </c>
      <c r="C285">
        <v>6</v>
      </c>
      <c r="D285">
        <v>12</v>
      </c>
      <c r="E285" t="s">
        <v>26</v>
      </c>
      <c r="F285" t="s">
        <v>27</v>
      </c>
      <c r="G285" t="s">
        <v>22</v>
      </c>
      <c r="H285" t="s">
        <v>23</v>
      </c>
      <c r="I285" t="s">
        <v>31</v>
      </c>
      <c r="J285">
        <v>88.61</v>
      </c>
      <c r="K285">
        <v>1</v>
      </c>
      <c r="L285">
        <v>4.4305000000000003</v>
      </c>
      <c r="M285">
        <v>93.040499999999994</v>
      </c>
      <c r="N285" s="1">
        <v>43484</v>
      </c>
      <c r="O285" s="2">
        <v>0.43125000000000002</v>
      </c>
      <c r="P285" t="s">
        <v>30</v>
      </c>
      <c r="Q285">
        <v>88.61</v>
      </c>
      <c r="R285">
        <v>4.7619047620000003</v>
      </c>
      <c r="S285">
        <v>4.4305000000000003</v>
      </c>
      <c r="T285">
        <v>7.7</v>
      </c>
    </row>
    <row r="286" spans="1:20" x14ac:dyDescent="0.3">
      <c r="A286">
        <v>446</v>
      </c>
      <c r="C286">
        <v>47</v>
      </c>
      <c r="D286">
        <v>6729</v>
      </c>
      <c r="E286" t="s">
        <v>26</v>
      </c>
      <c r="F286" t="s">
        <v>27</v>
      </c>
      <c r="G286" t="s">
        <v>28</v>
      </c>
      <c r="H286" t="s">
        <v>38</v>
      </c>
      <c r="I286" t="s">
        <v>37</v>
      </c>
      <c r="J286">
        <v>99.82</v>
      </c>
      <c r="K286">
        <v>2</v>
      </c>
      <c r="L286">
        <v>9.9819999999999993</v>
      </c>
      <c r="M286">
        <v>209.62200000000001</v>
      </c>
      <c r="N286" s="1">
        <v>43467</v>
      </c>
      <c r="O286" s="2">
        <v>0.75624999999999998</v>
      </c>
      <c r="P286" t="s">
        <v>32</v>
      </c>
      <c r="Q286">
        <v>199.64</v>
      </c>
      <c r="R286">
        <v>4.7619047620000003</v>
      </c>
      <c r="S286">
        <v>9.9819999999999993</v>
      </c>
      <c r="T286">
        <v>6.7</v>
      </c>
    </row>
    <row r="287" spans="1:20" x14ac:dyDescent="0.3">
      <c r="A287">
        <v>573</v>
      </c>
      <c r="C287">
        <v>10</v>
      </c>
      <c r="D287">
        <v>3877</v>
      </c>
      <c r="E287" t="s">
        <v>34</v>
      </c>
      <c r="F287" t="s">
        <v>35</v>
      </c>
      <c r="G287" t="s">
        <v>22</v>
      </c>
      <c r="H287" t="s">
        <v>38</v>
      </c>
      <c r="I287" t="s">
        <v>24</v>
      </c>
      <c r="J287">
        <v>39.01</v>
      </c>
      <c r="K287">
        <v>1</v>
      </c>
      <c r="L287">
        <v>1.9504999999999999</v>
      </c>
      <c r="M287">
        <v>40.960500000000003</v>
      </c>
      <c r="N287" s="1">
        <v>43536</v>
      </c>
      <c r="O287" s="2">
        <v>0.69861111111111107</v>
      </c>
      <c r="P287" t="s">
        <v>32</v>
      </c>
      <c r="Q287">
        <v>39.01</v>
      </c>
      <c r="R287">
        <v>4.7619047620000003</v>
      </c>
      <c r="S287">
        <v>1.9504999999999999</v>
      </c>
      <c r="T287">
        <v>4.7</v>
      </c>
    </row>
    <row r="288" spans="1:20" x14ac:dyDescent="0.3">
      <c r="A288">
        <v>735</v>
      </c>
      <c r="C288">
        <v>6</v>
      </c>
      <c r="D288">
        <v>4124</v>
      </c>
      <c r="E288" t="s">
        <v>26</v>
      </c>
      <c r="F288" t="s">
        <v>27</v>
      </c>
      <c r="G288" t="s">
        <v>28</v>
      </c>
      <c r="H288" t="s">
        <v>38</v>
      </c>
      <c r="I288" t="s">
        <v>36</v>
      </c>
      <c r="J288">
        <v>48.61</v>
      </c>
      <c r="K288">
        <v>1</v>
      </c>
      <c r="L288">
        <v>2.4304999999999999</v>
      </c>
      <c r="M288">
        <v>51.040500000000002</v>
      </c>
      <c r="N288" s="1">
        <v>43521</v>
      </c>
      <c r="O288" s="2">
        <v>0.64652777777777781</v>
      </c>
      <c r="P288" t="s">
        <v>30</v>
      </c>
      <c r="Q288">
        <v>48.61</v>
      </c>
      <c r="R288">
        <v>4.7619047620000003</v>
      </c>
      <c r="S288">
        <v>2.4304999999999999</v>
      </c>
      <c r="T288">
        <v>4.4000000000000004</v>
      </c>
    </row>
    <row r="289" spans="1:20" x14ac:dyDescent="0.3">
      <c r="A289">
        <v>439</v>
      </c>
      <c r="C289">
        <v>54</v>
      </c>
      <c r="D289">
        <v>7422</v>
      </c>
      <c r="E289" t="s">
        <v>20</v>
      </c>
      <c r="F289" t="s">
        <v>21</v>
      </c>
      <c r="G289" t="s">
        <v>28</v>
      </c>
      <c r="H289" t="s">
        <v>23</v>
      </c>
      <c r="I289" t="s">
        <v>29</v>
      </c>
      <c r="J289">
        <v>51.19</v>
      </c>
      <c r="K289">
        <v>4</v>
      </c>
      <c r="L289">
        <v>10.238</v>
      </c>
      <c r="M289">
        <v>214.99799999999999</v>
      </c>
      <c r="N289" s="1">
        <v>43542</v>
      </c>
      <c r="O289" s="2">
        <v>0.71875</v>
      </c>
      <c r="P289" t="s">
        <v>32</v>
      </c>
      <c r="Q289">
        <v>204.76</v>
      </c>
      <c r="R289">
        <v>4.7619047620000003</v>
      </c>
      <c r="S289">
        <v>10.238</v>
      </c>
      <c r="T289">
        <v>4.7</v>
      </c>
    </row>
    <row r="290" spans="1:20" x14ac:dyDescent="0.3">
      <c r="A290">
        <v>396</v>
      </c>
      <c r="C290">
        <v>90</v>
      </c>
      <c r="D290">
        <v>2219</v>
      </c>
      <c r="E290" t="s">
        <v>34</v>
      </c>
      <c r="F290" t="s">
        <v>35</v>
      </c>
      <c r="G290" t="s">
        <v>28</v>
      </c>
      <c r="H290" t="s">
        <v>23</v>
      </c>
      <c r="I290" t="s">
        <v>29</v>
      </c>
      <c r="J290">
        <v>14.96</v>
      </c>
      <c r="K290">
        <v>8</v>
      </c>
      <c r="L290">
        <v>5.984</v>
      </c>
      <c r="M290">
        <v>125.664</v>
      </c>
      <c r="N290" s="1">
        <v>43519</v>
      </c>
      <c r="O290" s="2">
        <v>0.52013888888888893</v>
      </c>
      <c r="P290" t="s">
        <v>30</v>
      </c>
      <c r="Q290">
        <v>119.68</v>
      </c>
      <c r="R290">
        <v>4.7619047620000003</v>
      </c>
      <c r="S290">
        <v>5.984</v>
      </c>
      <c r="T290">
        <v>8.6</v>
      </c>
    </row>
    <row r="291" spans="1:20" x14ac:dyDescent="0.3">
      <c r="A291">
        <v>411</v>
      </c>
      <c r="C291">
        <v>77</v>
      </c>
      <c r="D291">
        <v>180</v>
      </c>
      <c r="E291" t="s">
        <v>20</v>
      </c>
      <c r="F291" t="s">
        <v>21</v>
      </c>
      <c r="G291" t="s">
        <v>22</v>
      </c>
      <c r="H291" t="s">
        <v>38</v>
      </c>
      <c r="I291" t="s">
        <v>29</v>
      </c>
      <c r="J291">
        <v>72.2</v>
      </c>
      <c r="K291">
        <v>7</v>
      </c>
      <c r="L291">
        <v>25.27</v>
      </c>
      <c r="M291">
        <v>530.66999999999996</v>
      </c>
      <c r="N291" s="1">
        <v>43550</v>
      </c>
      <c r="O291" s="2">
        <v>0.84305555555555556</v>
      </c>
      <c r="P291" t="s">
        <v>25</v>
      </c>
      <c r="Q291">
        <v>505.4</v>
      </c>
      <c r="R291">
        <v>4.7619047620000003</v>
      </c>
      <c r="S291">
        <v>25.27</v>
      </c>
      <c r="T291">
        <v>4.3</v>
      </c>
    </row>
    <row r="292" spans="1:20" x14ac:dyDescent="0.3">
      <c r="A292">
        <v>286</v>
      </c>
      <c r="C292">
        <v>1</v>
      </c>
      <c r="D292">
        <v>5402</v>
      </c>
      <c r="E292" t="s">
        <v>20</v>
      </c>
      <c r="F292" t="s">
        <v>21</v>
      </c>
      <c r="G292" t="s">
        <v>28</v>
      </c>
      <c r="H292" t="s">
        <v>23</v>
      </c>
      <c r="I292" t="s">
        <v>33</v>
      </c>
      <c r="J292">
        <v>40.229999999999997</v>
      </c>
      <c r="K292">
        <v>7</v>
      </c>
      <c r="L292">
        <v>14.080500000000001</v>
      </c>
      <c r="M292">
        <v>295.69049999999999</v>
      </c>
      <c r="N292" s="1">
        <v>43554</v>
      </c>
      <c r="O292" s="2">
        <v>0.55694444444444446</v>
      </c>
      <c r="P292" t="s">
        <v>30</v>
      </c>
      <c r="Q292">
        <v>281.61</v>
      </c>
      <c r="R292">
        <v>4.7619047620000003</v>
      </c>
      <c r="S292">
        <v>14.080500000000001</v>
      </c>
      <c r="T292">
        <v>9.6</v>
      </c>
    </row>
    <row r="293" spans="1:20" x14ac:dyDescent="0.3">
      <c r="A293">
        <v>803</v>
      </c>
      <c r="C293">
        <v>17</v>
      </c>
      <c r="D293">
        <v>8013</v>
      </c>
      <c r="E293" t="s">
        <v>20</v>
      </c>
      <c r="F293" t="s">
        <v>21</v>
      </c>
      <c r="G293" t="s">
        <v>22</v>
      </c>
      <c r="H293" t="s">
        <v>23</v>
      </c>
      <c r="I293" t="s">
        <v>31</v>
      </c>
      <c r="J293">
        <v>88.79</v>
      </c>
      <c r="K293">
        <v>8</v>
      </c>
      <c r="L293">
        <v>35.515999999999998</v>
      </c>
      <c r="M293">
        <v>745.83600000000001</v>
      </c>
      <c r="N293" s="1">
        <v>43513</v>
      </c>
      <c r="O293" s="2">
        <v>0.71458333333333335</v>
      </c>
      <c r="P293" t="s">
        <v>30</v>
      </c>
      <c r="Q293">
        <v>710.32</v>
      </c>
      <c r="R293">
        <v>4.7619047620000003</v>
      </c>
      <c r="S293">
        <v>35.515999999999998</v>
      </c>
      <c r="T293">
        <v>4.0999999999999996</v>
      </c>
    </row>
    <row r="294" spans="1:20" x14ac:dyDescent="0.3">
      <c r="A294">
        <v>512</v>
      </c>
      <c r="C294">
        <v>98</v>
      </c>
      <c r="D294">
        <v>1403</v>
      </c>
      <c r="E294" t="s">
        <v>20</v>
      </c>
      <c r="F294" t="s">
        <v>21</v>
      </c>
      <c r="G294" t="s">
        <v>22</v>
      </c>
      <c r="H294" t="s">
        <v>23</v>
      </c>
      <c r="I294" t="s">
        <v>29</v>
      </c>
      <c r="J294">
        <v>26.48</v>
      </c>
      <c r="K294">
        <v>3</v>
      </c>
      <c r="L294">
        <v>3.972</v>
      </c>
      <c r="M294">
        <v>83.412000000000006</v>
      </c>
      <c r="N294" s="1">
        <v>43545</v>
      </c>
      <c r="O294" s="2">
        <v>0.44444444444444442</v>
      </c>
      <c r="P294" t="s">
        <v>25</v>
      </c>
      <c r="Q294">
        <v>79.44</v>
      </c>
      <c r="R294">
        <v>4.7619047620000003</v>
      </c>
      <c r="S294">
        <v>3.972</v>
      </c>
      <c r="T294">
        <v>4.7</v>
      </c>
    </row>
    <row r="295" spans="1:20" x14ac:dyDescent="0.3">
      <c r="A295">
        <v>848</v>
      </c>
      <c r="C295">
        <v>42</v>
      </c>
      <c r="D295">
        <v>2560</v>
      </c>
      <c r="E295" t="s">
        <v>20</v>
      </c>
      <c r="F295" t="s">
        <v>21</v>
      </c>
      <c r="G295" t="s">
        <v>28</v>
      </c>
      <c r="H295" t="s">
        <v>23</v>
      </c>
      <c r="I295" t="s">
        <v>37</v>
      </c>
      <c r="J295">
        <v>81.91</v>
      </c>
      <c r="K295">
        <v>2</v>
      </c>
      <c r="L295">
        <v>8.1910000000000007</v>
      </c>
      <c r="M295">
        <v>172.011</v>
      </c>
      <c r="N295" s="1">
        <v>43529</v>
      </c>
      <c r="O295" s="2">
        <v>0.73819444444444449</v>
      </c>
      <c r="P295" t="s">
        <v>30</v>
      </c>
      <c r="Q295">
        <v>163.82</v>
      </c>
      <c r="R295">
        <v>4.7619047620000003</v>
      </c>
      <c r="S295">
        <v>8.1910000000000007</v>
      </c>
      <c r="T295">
        <v>7.8</v>
      </c>
    </row>
    <row r="296" spans="1:20" x14ac:dyDescent="0.3">
      <c r="A296">
        <v>532</v>
      </c>
      <c r="C296">
        <v>59</v>
      </c>
      <c r="D296">
        <v>7201</v>
      </c>
      <c r="E296" t="s">
        <v>34</v>
      </c>
      <c r="F296" t="s">
        <v>35</v>
      </c>
      <c r="G296" t="s">
        <v>22</v>
      </c>
      <c r="H296" t="s">
        <v>38</v>
      </c>
      <c r="I296" t="s">
        <v>33</v>
      </c>
      <c r="J296">
        <v>79.930000000000007</v>
      </c>
      <c r="K296">
        <v>6</v>
      </c>
      <c r="L296">
        <v>23.978999999999999</v>
      </c>
      <c r="M296">
        <v>503.55900000000003</v>
      </c>
      <c r="N296" s="1">
        <v>43496</v>
      </c>
      <c r="O296" s="2">
        <v>0.58611111111111114</v>
      </c>
      <c r="P296" t="s">
        <v>30</v>
      </c>
      <c r="Q296">
        <v>479.58</v>
      </c>
      <c r="R296">
        <v>4.7619047620000003</v>
      </c>
      <c r="S296">
        <v>23.978999999999999</v>
      </c>
      <c r="T296">
        <v>5.5</v>
      </c>
    </row>
    <row r="297" spans="1:20" x14ac:dyDescent="0.3">
      <c r="A297">
        <v>181</v>
      </c>
      <c r="C297">
        <v>94</v>
      </c>
      <c r="D297">
        <v>6432</v>
      </c>
      <c r="E297" t="s">
        <v>26</v>
      </c>
      <c r="F297" t="s">
        <v>27</v>
      </c>
      <c r="G297" t="s">
        <v>22</v>
      </c>
      <c r="H297" t="s">
        <v>38</v>
      </c>
      <c r="I297" t="s">
        <v>37</v>
      </c>
      <c r="J297">
        <v>69.33</v>
      </c>
      <c r="K297">
        <v>2</v>
      </c>
      <c r="L297">
        <v>6.9329999999999998</v>
      </c>
      <c r="M297">
        <v>145.59299999999999</v>
      </c>
      <c r="N297" s="1">
        <v>43501</v>
      </c>
      <c r="O297" s="2">
        <v>0.79513888888888884</v>
      </c>
      <c r="P297" t="s">
        <v>25</v>
      </c>
      <c r="Q297">
        <v>138.66</v>
      </c>
      <c r="R297">
        <v>4.7619047620000003</v>
      </c>
      <c r="S297">
        <v>6.9329999999999998</v>
      </c>
      <c r="T297">
        <v>9.6999999999999993</v>
      </c>
    </row>
    <row r="298" spans="1:20" x14ac:dyDescent="0.3">
      <c r="A298">
        <v>870</v>
      </c>
      <c r="C298">
        <v>76</v>
      </c>
      <c r="D298">
        <v>1733</v>
      </c>
      <c r="E298" t="s">
        <v>20</v>
      </c>
      <c r="F298" t="s">
        <v>21</v>
      </c>
      <c r="G298" t="s">
        <v>22</v>
      </c>
      <c r="H298" t="s">
        <v>23</v>
      </c>
      <c r="I298" t="s">
        <v>36</v>
      </c>
      <c r="J298">
        <v>14.23</v>
      </c>
      <c r="K298">
        <v>5</v>
      </c>
      <c r="L298">
        <v>3.5575000000000001</v>
      </c>
      <c r="M298">
        <v>74.707499999999996</v>
      </c>
      <c r="N298" s="1">
        <v>43497</v>
      </c>
      <c r="O298" s="2">
        <v>0.42222222222222222</v>
      </c>
      <c r="P298" t="s">
        <v>32</v>
      </c>
      <c r="Q298">
        <v>71.150000000000006</v>
      </c>
      <c r="R298">
        <v>4.7619047620000003</v>
      </c>
      <c r="S298">
        <v>3.5575000000000001</v>
      </c>
      <c r="T298">
        <v>4.4000000000000004</v>
      </c>
    </row>
    <row r="299" spans="1:20" x14ac:dyDescent="0.3">
      <c r="A299">
        <v>423</v>
      </c>
      <c r="C299">
        <v>64</v>
      </c>
      <c r="D299">
        <v>4619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>
        <v>15.55</v>
      </c>
      <c r="K299">
        <v>9</v>
      </c>
      <c r="L299">
        <v>6.9974999999999996</v>
      </c>
      <c r="M299">
        <v>146.94749999999999</v>
      </c>
      <c r="N299" s="1">
        <v>43531</v>
      </c>
      <c r="O299" s="2">
        <v>0.55000000000000004</v>
      </c>
      <c r="P299" t="s">
        <v>30</v>
      </c>
      <c r="Q299">
        <v>139.94999999999999</v>
      </c>
      <c r="R299">
        <v>4.7619047620000003</v>
      </c>
      <c r="S299">
        <v>6.9974999999999996</v>
      </c>
      <c r="T299">
        <v>5</v>
      </c>
    </row>
    <row r="300" spans="1:20" x14ac:dyDescent="0.3">
      <c r="A300">
        <v>227</v>
      </c>
      <c r="C300">
        <v>7</v>
      </c>
      <c r="D300">
        <v>4446</v>
      </c>
      <c r="E300" t="s">
        <v>26</v>
      </c>
      <c r="F300" t="s">
        <v>27</v>
      </c>
      <c r="G300" t="s">
        <v>22</v>
      </c>
      <c r="H300" t="s">
        <v>23</v>
      </c>
      <c r="I300" t="s">
        <v>29</v>
      </c>
      <c r="J300">
        <v>78.13</v>
      </c>
      <c r="K300">
        <v>10</v>
      </c>
      <c r="L300">
        <v>39.064999999999998</v>
      </c>
      <c r="M300">
        <v>820.36500000000001</v>
      </c>
      <c r="N300" s="1">
        <v>43506</v>
      </c>
      <c r="O300" s="2">
        <v>0.86875000000000002</v>
      </c>
      <c r="P300" t="s">
        <v>30</v>
      </c>
      <c r="Q300">
        <v>781.3</v>
      </c>
      <c r="R300">
        <v>4.7619047620000003</v>
      </c>
      <c r="S300">
        <v>39.064999999999998</v>
      </c>
      <c r="T300">
        <v>4.4000000000000004</v>
      </c>
    </row>
    <row r="301" spans="1:20" x14ac:dyDescent="0.3">
      <c r="A301">
        <v>174</v>
      </c>
      <c r="C301">
        <v>36</v>
      </c>
      <c r="D301">
        <v>3675</v>
      </c>
      <c r="E301" t="s">
        <v>26</v>
      </c>
      <c r="F301" t="s">
        <v>27</v>
      </c>
      <c r="G301" t="s">
        <v>22</v>
      </c>
      <c r="H301" t="s">
        <v>38</v>
      </c>
      <c r="I301" t="s">
        <v>36</v>
      </c>
      <c r="J301">
        <v>99.37</v>
      </c>
      <c r="K301">
        <v>2</v>
      </c>
      <c r="L301">
        <v>9.9369999999999994</v>
      </c>
      <c r="M301">
        <v>208.67699999999999</v>
      </c>
      <c r="N301" s="1">
        <v>43510</v>
      </c>
      <c r="O301" s="2">
        <v>0.72847222222222219</v>
      </c>
      <c r="P301" t="s">
        <v>30</v>
      </c>
      <c r="Q301">
        <v>198.74</v>
      </c>
      <c r="R301">
        <v>4.7619047620000003</v>
      </c>
      <c r="S301">
        <v>9.9369999999999994</v>
      </c>
      <c r="T301">
        <v>5.2</v>
      </c>
    </row>
    <row r="302" spans="1:20" x14ac:dyDescent="0.3">
      <c r="A302">
        <v>603</v>
      </c>
      <c r="C302">
        <v>7</v>
      </c>
      <c r="D302">
        <v>961</v>
      </c>
      <c r="E302" t="s">
        <v>26</v>
      </c>
      <c r="F302" t="s">
        <v>27</v>
      </c>
      <c r="G302" t="s">
        <v>22</v>
      </c>
      <c r="H302" t="s">
        <v>38</v>
      </c>
      <c r="I302" t="s">
        <v>29</v>
      </c>
      <c r="J302">
        <v>74.790000000000006</v>
      </c>
      <c r="K302">
        <v>5</v>
      </c>
      <c r="L302">
        <v>18.697500000000002</v>
      </c>
      <c r="M302">
        <v>392.64749999999998</v>
      </c>
      <c r="N302" s="1">
        <v>43475</v>
      </c>
      <c r="O302" s="2">
        <v>0.48194444444444445</v>
      </c>
      <c r="P302" t="s">
        <v>30</v>
      </c>
      <c r="Q302">
        <v>373.95</v>
      </c>
      <c r="R302">
        <v>4.7619047620000003</v>
      </c>
      <c r="S302">
        <v>18.697500000000002</v>
      </c>
      <c r="T302">
        <v>4.9000000000000004</v>
      </c>
    </row>
    <row r="303" spans="1:20" x14ac:dyDescent="0.3">
      <c r="A303">
        <v>704</v>
      </c>
      <c r="C303">
        <v>20</v>
      </c>
      <c r="D303">
        <v>4138</v>
      </c>
      <c r="E303" t="s">
        <v>26</v>
      </c>
      <c r="F303" t="s">
        <v>27</v>
      </c>
      <c r="G303" t="s">
        <v>22</v>
      </c>
      <c r="H303" t="s">
        <v>23</v>
      </c>
      <c r="I303" t="s">
        <v>24</v>
      </c>
      <c r="J303">
        <v>29.67</v>
      </c>
      <c r="K303">
        <v>7</v>
      </c>
      <c r="L303">
        <v>10.384499999999999</v>
      </c>
      <c r="M303">
        <v>218.0745</v>
      </c>
      <c r="N303" s="1">
        <v>43535</v>
      </c>
      <c r="O303" s="2">
        <v>0.79027777777777775</v>
      </c>
      <c r="P303" t="s">
        <v>32</v>
      </c>
      <c r="Q303">
        <v>207.69</v>
      </c>
      <c r="R303">
        <v>4.7619047620000003</v>
      </c>
      <c r="S303">
        <v>10.384499999999999</v>
      </c>
      <c r="T303">
        <v>8.1</v>
      </c>
    </row>
    <row r="304" spans="1:20" x14ac:dyDescent="0.3">
      <c r="A304">
        <v>787</v>
      </c>
      <c r="C304">
        <v>15</v>
      </c>
      <c r="D304">
        <v>1757</v>
      </c>
      <c r="E304" t="s">
        <v>26</v>
      </c>
      <c r="F304" t="s">
        <v>27</v>
      </c>
      <c r="G304" t="s">
        <v>22</v>
      </c>
      <c r="H304" t="s">
        <v>38</v>
      </c>
      <c r="I304" t="s">
        <v>24</v>
      </c>
      <c r="J304">
        <v>44.07</v>
      </c>
      <c r="K304">
        <v>4</v>
      </c>
      <c r="L304">
        <v>8.8140000000000001</v>
      </c>
      <c r="M304">
        <v>185.09399999999999</v>
      </c>
      <c r="N304" s="1">
        <v>43514</v>
      </c>
      <c r="O304" s="2">
        <v>0.68611111111111112</v>
      </c>
      <c r="P304" t="s">
        <v>25</v>
      </c>
      <c r="Q304">
        <v>176.28</v>
      </c>
      <c r="R304">
        <v>4.7619047620000003</v>
      </c>
      <c r="S304">
        <v>8.8140000000000001</v>
      </c>
      <c r="T304">
        <v>8.4</v>
      </c>
    </row>
    <row r="305" spans="1:20" x14ac:dyDescent="0.3">
      <c r="A305">
        <v>649</v>
      </c>
      <c r="C305">
        <v>11</v>
      </c>
      <c r="D305">
        <v>3678</v>
      </c>
      <c r="E305" t="s">
        <v>26</v>
      </c>
      <c r="F305" t="s">
        <v>27</v>
      </c>
      <c r="G305" t="s">
        <v>28</v>
      </c>
      <c r="H305" t="s">
        <v>23</v>
      </c>
      <c r="I305" t="s">
        <v>36</v>
      </c>
      <c r="J305">
        <v>22.93</v>
      </c>
      <c r="K305">
        <v>9</v>
      </c>
      <c r="L305">
        <v>10.3185</v>
      </c>
      <c r="M305">
        <v>216.6885</v>
      </c>
      <c r="N305" s="1">
        <v>43522</v>
      </c>
      <c r="O305" s="2">
        <v>0.85138888888888886</v>
      </c>
      <c r="P305" t="s">
        <v>30</v>
      </c>
      <c r="Q305">
        <v>206.37</v>
      </c>
      <c r="R305">
        <v>4.7619047620000003</v>
      </c>
      <c r="S305">
        <v>10.3185</v>
      </c>
      <c r="T305">
        <v>5.5</v>
      </c>
    </row>
    <row r="306" spans="1:20" x14ac:dyDescent="0.3">
      <c r="A306">
        <v>622</v>
      </c>
      <c r="C306">
        <v>20</v>
      </c>
      <c r="D306">
        <v>1945</v>
      </c>
      <c r="E306" t="s">
        <v>26</v>
      </c>
      <c r="F306" t="s">
        <v>27</v>
      </c>
      <c r="G306" t="s">
        <v>28</v>
      </c>
      <c r="H306" t="s">
        <v>23</v>
      </c>
      <c r="I306" t="s">
        <v>24</v>
      </c>
      <c r="J306">
        <v>39.42</v>
      </c>
      <c r="K306">
        <v>1</v>
      </c>
      <c r="L306">
        <v>1.9710000000000001</v>
      </c>
      <c r="M306">
        <v>41.390999999999998</v>
      </c>
      <c r="N306" s="1">
        <v>43483</v>
      </c>
      <c r="O306" s="2">
        <v>0.63055555555555554</v>
      </c>
      <c r="P306" t="s">
        <v>30</v>
      </c>
      <c r="Q306">
        <v>39.42</v>
      </c>
      <c r="R306">
        <v>4.7619047620000003</v>
      </c>
      <c r="S306">
        <v>1.9710000000000001</v>
      </c>
      <c r="T306">
        <v>8.4</v>
      </c>
    </row>
    <row r="307" spans="1:20" x14ac:dyDescent="0.3">
      <c r="A307">
        <v>372</v>
      </c>
      <c r="C307">
        <v>94</v>
      </c>
      <c r="D307">
        <v>8041</v>
      </c>
      <c r="E307" t="s">
        <v>20</v>
      </c>
      <c r="F307" t="s">
        <v>21</v>
      </c>
      <c r="G307" t="s">
        <v>28</v>
      </c>
      <c r="H307" t="s">
        <v>38</v>
      </c>
      <c r="I307" t="s">
        <v>24</v>
      </c>
      <c r="J307">
        <v>15.26</v>
      </c>
      <c r="K307">
        <v>6</v>
      </c>
      <c r="L307">
        <v>4.5780000000000003</v>
      </c>
      <c r="M307">
        <v>96.138000000000005</v>
      </c>
      <c r="N307" s="1">
        <v>43511</v>
      </c>
      <c r="O307" s="2">
        <v>0.75208333333333333</v>
      </c>
      <c r="P307" t="s">
        <v>25</v>
      </c>
      <c r="Q307">
        <v>91.56</v>
      </c>
      <c r="R307">
        <v>4.7619047620000003</v>
      </c>
      <c r="S307">
        <v>4.5780000000000003</v>
      </c>
      <c r="T307">
        <v>9.8000000000000007</v>
      </c>
    </row>
    <row r="308" spans="1:20" x14ac:dyDescent="0.3">
      <c r="A308">
        <v>563</v>
      </c>
      <c r="C308">
        <v>91</v>
      </c>
      <c r="D308">
        <v>7120</v>
      </c>
      <c r="E308" t="s">
        <v>20</v>
      </c>
      <c r="F308" t="s">
        <v>21</v>
      </c>
      <c r="G308" t="s">
        <v>28</v>
      </c>
      <c r="H308" t="s">
        <v>23</v>
      </c>
      <c r="I308" t="s">
        <v>37</v>
      </c>
      <c r="J308">
        <v>61.77</v>
      </c>
      <c r="K308">
        <v>5</v>
      </c>
      <c r="L308">
        <v>15.442500000000001</v>
      </c>
      <c r="M308">
        <v>324.29250000000002</v>
      </c>
      <c r="N308" s="1">
        <v>43532</v>
      </c>
      <c r="O308" s="2">
        <v>0.55625000000000002</v>
      </c>
      <c r="P308" t="s">
        <v>30</v>
      </c>
      <c r="Q308">
        <v>308.85000000000002</v>
      </c>
      <c r="R308">
        <v>4.7619047620000003</v>
      </c>
      <c r="S308">
        <v>15.442500000000001</v>
      </c>
      <c r="T308">
        <v>6.7</v>
      </c>
    </row>
    <row r="309" spans="1:20" x14ac:dyDescent="0.3">
      <c r="A309">
        <v>746</v>
      </c>
      <c r="C309">
        <v>54</v>
      </c>
      <c r="D309">
        <v>5508</v>
      </c>
      <c r="E309" t="s">
        <v>20</v>
      </c>
      <c r="F309" t="s">
        <v>21</v>
      </c>
      <c r="G309" t="s">
        <v>28</v>
      </c>
      <c r="H309" t="s">
        <v>38</v>
      </c>
      <c r="I309" t="s">
        <v>31</v>
      </c>
      <c r="J309">
        <v>21.52</v>
      </c>
      <c r="K309">
        <v>6</v>
      </c>
      <c r="L309">
        <v>6.4560000000000004</v>
      </c>
      <c r="M309">
        <v>135.57599999999999</v>
      </c>
      <c r="N309" s="1">
        <v>43482</v>
      </c>
      <c r="O309" s="2">
        <v>0.53333333333333333</v>
      </c>
      <c r="P309" t="s">
        <v>32</v>
      </c>
      <c r="Q309">
        <v>129.12</v>
      </c>
      <c r="R309">
        <v>4.7619047620000003</v>
      </c>
      <c r="S309">
        <v>6.4560000000000004</v>
      </c>
      <c r="T309">
        <v>9.4</v>
      </c>
    </row>
    <row r="310" spans="1:20" x14ac:dyDescent="0.3">
      <c r="A310">
        <v>276</v>
      </c>
      <c r="C310">
        <v>54</v>
      </c>
      <c r="D310">
        <v>879</v>
      </c>
      <c r="E310" t="s">
        <v>34</v>
      </c>
      <c r="F310" t="s">
        <v>35</v>
      </c>
      <c r="G310" t="s">
        <v>28</v>
      </c>
      <c r="H310" t="s">
        <v>38</v>
      </c>
      <c r="I310" t="s">
        <v>33</v>
      </c>
      <c r="J310">
        <v>97.74</v>
      </c>
      <c r="K310">
        <v>4</v>
      </c>
      <c r="L310">
        <v>19.547999999999998</v>
      </c>
      <c r="M310">
        <v>410.50799999999998</v>
      </c>
      <c r="N310" s="1">
        <v>43536</v>
      </c>
      <c r="O310" s="2">
        <v>0.82847222222222228</v>
      </c>
      <c r="P310" t="s">
        <v>25</v>
      </c>
      <c r="Q310">
        <v>390.96</v>
      </c>
      <c r="R310">
        <v>4.7619047620000003</v>
      </c>
      <c r="S310">
        <v>19.547999999999998</v>
      </c>
      <c r="T310">
        <v>6.4</v>
      </c>
    </row>
    <row r="311" spans="1:20" x14ac:dyDescent="0.3">
      <c r="A311">
        <v>815</v>
      </c>
      <c r="C311">
        <v>11</v>
      </c>
      <c r="D311">
        <v>1168</v>
      </c>
      <c r="E311" t="s">
        <v>20</v>
      </c>
      <c r="F311" t="s">
        <v>21</v>
      </c>
      <c r="G311" t="s">
        <v>22</v>
      </c>
      <c r="H311" t="s">
        <v>38</v>
      </c>
      <c r="I311" t="s">
        <v>36</v>
      </c>
      <c r="J311">
        <v>99.78</v>
      </c>
      <c r="K311">
        <v>5</v>
      </c>
      <c r="L311">
        <v>24.945</v>
      </c>
      <c r="M311">
        <v>523.84500000000003</v>
      </c>
      <c r="N311" s="1">
        <v>43533</v>
      </c>
      <c r="O311" s="2">
        <v>0.79791666666666672</v>
      </c>
      <c r="P311" t="s">
        <v>30</v>
      </c>
      <c r="Q311">
        <v>498.9</v>
      </c>
      <c r="R311">
        <v>4.7619047620000003</v>
      </c>
      <c r="S311">
        <v>24.945</v>
      </c>
      <c r="T311">
        <v>5.4</v>
      </c>
    </row>
    <row r="312" spans="1:20" x14ac:dyDescent="0.3">
      <c r="A312">
        <v>719</v>
      </c>
      <c r="C312">
        <v>76</v>
      </c>
      <c r="D312">
        <v>3868</v>
      </c>
      <c r="E312" t="s">
        <v>26</v>
      </c>
      <c r="F312" t="s">
        <v>27</v>
      </c>
      <c r="G312" t="s">
        <v>22</v>
      </c>
      <c r="H312" t="s">
        <v>38</v>
      </c>
      <c r="I312" t="s">
        <v>36</v>
      </c>
      <c r="J312">
        <v>94.26</v>
      </c>
      <c r="K312">
        <v>4</v>
      </c>
      <c r="L312">
        <v>18.852</v>
      </c>
      <c r="M312">
        <v>395.892</v>
      </c>
      <c r="N312" s="1">
        <v>43536</v>
      </c>
      <c r="O312" s="2">
        <v>0.6875</v>
      </c>
      <c r="P312" t="s">
        <v>30</v>
      </c>
      <c r="Q312">
        <v>377.04</v>
      </c>
      <c r="R312">
        <v>4.7619047620000003</v>
      </c>
      <c r="S312">
        <v>18.852</v>
      </c>
      <c r="T312">
        <v>8.6</v>
      </c>
    </row>
    <row r="313" spans="1:20" x14ac:dyDescent="0.3">
      <c r="A313">
        <v>730</v>
      </c>
      <c r="C313">
        <v>61</v>
      </c>
      <c r="D313">
        <v>8757</v>
      </c>
      <c r="E313" t="s">
        <v>34</v>
      </c>
      <c r="F313" t="s">
        <v>35</v>
      </c>
      <c r="G313" t="s">
        <v>22</v>
      </c>
      <c r="H313" t="s">
        <v>38</v>
      </c>
      <c r="I313" t="s">
        <v>24</v>
      </c>
      <c r="J313">
        <v>51.13</v>
      </c>
      <c r="K313">
        <v>4</v>
      </c>
      <c r="L313">
        <v>10.226000000000001</v>
      </c>
      <c r="M313">
        <v>214.74600000000001</v>
      </c>
      <c r="N313" s="1">
        <v>43490</v>
      </c>
      <c r="O313" s="2">
        <v>0.42430555555555555</v>
      </c>
      <c r="P313" t="s">
        <v>32</v>
      </c>
      <c r="Q313">
        <v>204.52</v>
      </c>
      <c r="R313">
        <v>4.7619047620000003</v>
      </c>
      <c r="S313">
        <v>10.226000000000001</v>
      </c>
      <c r="T313">
        <v>4</v>
      </c>
    </row>
    <row r="314" spans="1:20" x14ac:dyDescent="0.3">
      <c r="A314">
        <v>340</v>
      </c>
      <c r="C314">
        <v>66</v>
      </c>
      <c r="D314">
        <v>321</v>
      </c>
      <c r="E314" t="s">
        <v>20</v>
      </c>
      <c r="F314" t="s">
        <v>21</v>
      </c>
      <c r="G314" t="s">
        <v>22</v>
      </c>
      <c r="H314" t="s">
        <v>38</v>
      </c>
      <c r="I314" t="s">
        <v>29</v>
      </c>
      <c r="J314">
        <v>36.36</v>
      </c>
      <c r="K314">
        <v>4</v>
      </c>
      <c r="L314">
        <v>7.2720000000000002</v>
      </c>
      <c r="M314">
        <v>152.71199999999999</v>
      </c>
      <c r="N314" s="1">
        <v>43549</v>
      </c>
      <c r="O314" s="2">
        <v>0.54652777777777772</v>
      </c>
      <c r="P314" t="s">
        <v>30</v>
      </c>
      <c r="Q314">
        <v>145.44</v>
      </c>
      <c r="R314">
        <v>4.7619047620000003</v>
      </c>
      <c r="S314">
        <v>7.2720000000000002</v>
      </c>
      <c r="T314">
        <v>7.6</v>
      </c>
    </row>
    <row r="315" spans="1:20" x14ac:dyDescent="0.3">
      <c r="A315">
        <v>868</v>
      </c>
      <c r="C315">
        <v>81</v>
      </c>
      <c r="D315">
        <v>1752</v>
      </c>
      <c r="E315" t="s">
        <v>34</v>
      </c>
      <c r="F315" t="s">
        <v>35</v>
      </c>
      <c r="G315" t="s">
        <v>28</v>
      </c>
      <c r="H315" t="s">
        <v>38</v>
      </c>
      <c r="I315" t="s">
        <v>31</v>
      </c>
      <c r="J315">
        <v>22.02</v>
      </c>
      <c r="K315">
        <v>9</v>
      </c>
      <c r="L315">
        <v>9.9090000000000007</v>
      </c>
      <c r="M315">
        <v>208.089</v>
      </c>
      <c r="N315" s="1">
        <v>43503</v>
      </c>
      <c r="O315" s="2">
        <v>0.78333333333333333</v>
      </c>
      <c r="P315" t="s">
        <v>30</v>
      </c>
      <c r="Q315">
        <v>198.18</v>
      </c>
      <c r="R315">
        <v>4.7619047620000003</v>
      </c>
      <c r="S315">
        <v>9.9090000000000007</v>
      </c>
      <c r="T315">
        <v>6.8</v>
      </c>
    </row>
    <row r="316" spans="1:20" x14ac:dyDescent="0.3">
      <c r="A316">
        <v>634</v>
      </c>
      <c r="C316">
        <v>97</v>
      </c>
      <c r="D316">
        <v>8956</v>
      </c>
      <c r="E316" t="s">
        <v>20</v>
      </c>
      <c r="F316" t="s">
        <v>21</v>
      </c>
      <c r="G316" t="s">
        <v>28</v>
      </c>
      <c r="H316" t="s">
        <v>38</v>
      </c>
      <c r="I316" t="s">
        <v>36</v>
      </c>
      <c r="J316">
        <v>32.9</v>
      </c>
      <c r="K316">
        <v>3</v>
      </c>
      <c r="L316">
        <v>4.9349999999999996</v>
      </c>
      <c r="M316">
        <v>103.63500000000001</v>
      </c>
      <c r="N316" s="1">
        <v>43513</v>
      </c>
      <c r="O316" s="2">
        <v>0.7270833333333333</v>
      </c>
      <c r="P316" t="s">
        <v>32</v>
      </c>
      <c r="Q316">
        <v>98.7</v>
      </c>
      <c r="R316">
        <v>4.7619047620000003</v>
      </c>
      <c r="S316">
        <v>4.9349999999999996</v>
      </c>
      <c r="T316">
        <v>9.1</v>
      </c>
    </row>
    <row r="317" spans="1:20" x14ac:dyDescent="0.3">
      <c r="A317">
        <v>566</v>
      </c>
      <c r="C317">
        <v>71</v>
      </c>
      <c r="D317">
        <v>1091</v>
      </c>
      <c r="E317" t="s">
        <v>20</v>
      </c>
      <c r="F317" t="s">
        <v>21</v>
      </c>
      <c r="G317" t="s">
        <v>28</v>
      </c>
      <c r="H317" t="s">
        <v>38</v>
      </c>
      <c r="I317" t="s">
        <v>37</v>
      </c>
      <c r="J317">
        <v>77.02</v>
      </c>
      <c r="K317">
        <v>5</v>
      </c>
      <c r="L317">
        <v>19.254999999999999</v>
      </c>
      <c r="M317">
        <v>404.35500000000002</v>
      </c>
      <c r="N317" s="1">
        <v>43499</v>
      </c>
      <c r="O317" s="2">
        <v>0.66597222222222219</v>
      </c>
      <c r="P317" t="s">
        <v>30</v>
      </c>
      <c r="Q317">
        <v>385.1</v>
      </c>
      <c r="R317">
        <v>4.7619047620000003</v>
      </c>
      <c r="S317">
        <v>19.254999999999999</v>
      </c>
      <c r="T317">
        <v>5.5</v>
      </c>
    </row>
    <row r="318" spans="1:20" x14ac:dyDescent="0.3">
      <c r="A318">
        <v>442</v>
      </c>
      <c r="C318">
        <v>48</v>
      </c>
      <c r="D318">
        <v>3607</v>
      </c>
      <c r="E318" t="s">
        <v>20</v>
      </c>
      <c r="F318" t="s">
        <v>21</v>
      </c>
      <c r="G318" t="s">
        <v>22</v>
      </c>
      <c r="H318" t="s">
        <v>38</v>
      </c>
      <c r="I318" t="s">
        <v>36</v>
      </c>
      <c r="J318">
        <v>23.48</v>
      </c>
      <c r="K318">
        <v>2</v>
      </c>
      <c r="L318">
        <v>2.3479999999999999</v>
      </c>
      <c r="M318">
        <v>49.308</v>
      </c>
      <c r="N318" s="1">
        <v>43538</v>
      </c>
      <c r="O318" s="2">
        <v>0.47291666666666665</v>
      </c>
      <c r="P318" t="s">
        <v>32</v>
      </c>
      <c r="Q318">
        <v>46.96</v>
      </c>
      <c r="R318">
        <v>4.7619047620000003</v>
      </c>
      <c r="S318">
        <v>2.3479999999999999</v>
      </c>
      <c r="T318">
        <v>7.9</v>
      </c>
    </row>
    <row r="319" spans="1:20" x14ac:dyDescent="0.3">
      <c r="A319">
        <v>835</v>
      </c>
      <c r="C319">
        <v>16</v>
      </c>
      <c r="D319">
        <v>96</v>
      </c>
      <c r="E319" t="s">
        <v>26</v>
      </c>
      <c r="F319" t="s">
        <v>27</v>
      </c>
      <c r="G319" t="s">
        <v>22</v>
      </c>
      <c r="H319" t="s">
        <v>38</v>
      </c>
      <c r="I319" t="s">
        <v>33</v>
      </c>
      <c r="J319">
        <v>14.7</v>
      </c>
      <c r="K319">
        <v>5</v>
      </c>
      <c r="L319">
        <v>3.6749999999999998</v>
      </c>
      <c r="M319">
        <v>77.174999999999997</v>
      </c>
      <c r="N319" s="1">
        <v>43548</v>
      </c>
      <c r="O319" s="2">
        <v>0.57499999999999996</v>
      </c>
      <c r="P319" t="s">
        <v>25</v>
      </c>
      <c r="Q319">
        <v>73.5</v>
      </c>
      <c r="R319">
        <v>4.7619047620000003</v>
      </c>
      <c r="S319">
        <v>3.6749999999999998</v>
      </c>
      <c r="T319">
        <v>8.5</v>
      </c>
    </row>
    <row r="320" spans="1:20" x14ac:dyDescent="0.3">
      <c r="A320">
        <v>527</v>
      </c>
      <c r="C320">
        <v>9</v>
      </c>
      <c r="D320">
        <v>6272</v>
      </c>
      <c r="E320" t="s">
        <v>20</v>
      </c>
      <c r="F320" t="s">
        <v>21</v>
      </c>
      <c r="G320" t="s">
        <v>22</v>
      </c>
      <c r="H320" t="s">
        <v>23</v>
      </c>
      <c r="I320" t="s">
        <v>29</v>
      </c>
      <c r="J320">
        <v>28.45</v>
      </c>
      <c r="K320">
        <v>5</v>
      </c>
      <c r="L320">
        <v>7.1124999999999998</v>
      </c>
      <c r="M320">
        <v>149.36250000000001</v>
      </c>
      <c r="N320" s="1">
        <v>43545</v>
      </c>
      <c r="O320" s="2">
        <v>0.4284722222222222</v>
      </c>
      <c r="P320" t="s">
        <v>32</v>
      </c>
      <c r="Q320">
        <v>142.25</v>
      </c>
      <c r="R320">
        <v>4.7619047620000003</v>
      </c>
      <c r="S320">
        <v>7.1124999999999998</v>
      </c>
      <c r="T320">
        <v>9.1</v>
      </c>
    </row>
    <row r="321" spans="1:20" x14ac:dyDescent="0.3">
      <c r="A321">
        <v>898</v>
      </c>
      <c r="C321">
        <v>4</v>
      </c>
      <c r="D321">
        <v>2717</v>
      </c>
      <c r="E321" t="s">
        <v>20</v>
      </c>
      <c r="F321" t="s">
        <v>21</v>
      </c>
      <c r="G321" t="s">
        <v>28</v>
      </c>
      <c r="H321" t="s">
        <v>38</v>
      </c>
      <c r="I321" t="s">
        <v>37</v>
      </c>
      <c r="J321">
        <v>76.400000000000006</v>
      </c>
      <c r="K321">
        <v>9</v>
      </c>
      <c r="L321">
        <v>34.380000000000003</v>
      </c>
      <c r="M321">
        <v>721.98</v>
      </c>
      <c r="N321" s="1">
        <v>43543</v>
      </c>
      <c r="O321" s="2">
        <v>0.65902777777777777</v>
      </c>
      <c r="P321" t="s">
        <v>25</v>
      </c>
      <c r="Q321">
        <v>687.6</v>
      </c>
      <c r="R321">
        <v>4.7619047620000003</v>
      </c>
      <c r="S321">
        <v>34.380000000000003</v>
      </c>
      <c r="T321">
        <v>7.5</v>
      </c>
    </row>
    <row r="322" spans="1:20" x14ac:dyDescent="0.3">
      <c r="A322">
        <v>692</v>
      </c>
      <c r="C322">
        <v>27</v>
      </c>
      <c r="D322">
        <v>8933</v>
      </c>
      <c r="E322" t="s">
        <v>34</v>
      </c>
      <c r="F322" t="s">
        <v>35</v>
      </c>
      <c r="G322" t="s">
        <v>28</v>
      </c>
      <c r="H322" t="s">
        <v>23</v>
      </c>
      <c r="I322" t="s">
        <v>33</v>
      </c>
      <c r="J322">
        <v>57.95</v>
      </c>
      <c r="K322">
        <v>6</v>
      </c>
      <c r="L322">
        <v>17.385000000000002</v>
      </c>
      <c r="M322">
        <v>365.08499999999998</v>
      </c>
      <c r="N322" s="1">
        <v>43520</v>
      </c>
      <c r="O322" s="2">
        <v>0.54305555555555551</v>
      </c>
      <c r="P322" t="s">
        <v>30</v>
      </c>
      <c r="Q322">
        <v>347.7</v>
      </c>
      <c r="R322">
        <v>4.7619047620000003</v>
      </c>
      <c r="S322">
        <v>17.385000000000002</v>
      </c>
      <c r="T322">
        <v>5.2</v>
      </c>
    </row>
    <row r="323" spans="1:20" x14ac:dyDescent="0.3">
      <c r="A323">
        <v>633</v>
      </c>
      <c r="C323">
        <v>9</v>
      </c>
      <c r="D323">
        <v>3463</v>
      </c>
      <c r="E323" t="s">
        <v>26</v>
      </c>
      <c r="F323" t="s">
        <v>27</v>
      </c>
      <c r="G323" t="s">
        <v>28</v>
      </c>
      <c r="H323" t="s">
        <v>23</v>
      </c>
      <c r="I323" t="s">
        <v>29</v>
      </c>
      <c r="J323">
        <v>47.65</v>
      </c>
      <c r="K323">
        <v>3</v>
      </c>
      <c r="L323">
        <v>7.1475</v>
      </c>
      <c r="M323">
        <v>150.0975</v>
      </c>
      <c r="N323" s="1">
        <v>43552</v>
      </c>
      <c r="O323" s="2">
        <v>0.54027777777777775</v>
      </c>
      <c r="P323" t="s">
        <v>32</v>
      </c>
      <c r="Q323">
        <v>142.94999999999999</v>
      </c>
      <c r="R323">
        <v>4.7619047620000003</v>
      </c>
      <c r="S323">
        <v>7.1475</v>
      </c>
      <c r="T323">
        <v>9.5</v>
      </c>
    </row>
    <row r="324" spans="1:20" x14ac:dyDescent="0.3">
      <c r="A324">
        <v>374</v>
      </c>
      <c r="C324">
        <v>17</v>
      </c>
      <c r="D324">
        <v>3652</v>
      </c>
      <c r="E324" t="s">
        <v>34</v>
      </c>
      <c r="F324" t="s">
        <v>35</v>
      </c>
      <c r="G324" t="s">
        <v>22</v>
      </c>
      <c r="H324" t="s">
        <v>23</v>
      </c>
      <c r="I324" t="s">
        <v>36</v>
      </c>
      <c r="J324">
        <v>42.82</v>
      </c>
      <c r="K324">
        <v>9</v>
      </c>
      <c r="L324">
        <v>19.268999999999998</v>
      </c>
      <c r="M324">
        <v>404.649</v>
      </c>
      <c r="N324" s="1">
        <v>43501</v>
      </c>
      <c r="O324" s="2">
        <v>0.6430555555555556</v>
      </c>
      <c r="P324" t="s">
        <v>32</v>
      </c>
      <c r="Q324">
        <v>385.38</v>
      </c>
      <c r="R324">
        <v>4.7619047620000003</v>
      </c>
      <c r="S324">
        <v>19.268999999999998</v>
      </c>
      <c r="T324">
        <v>8.9</v>
      </c>
    </row>
    <row r="325" spans="1:20" x14ac:dyDescent="0.3">
      <c r="A325">
        <v>433</v>
      </c>
      <c r="C325">
        <v>75</v>
      </c>
      <c r="D325">
        <v>6987</v>
      </c>
      <c r="E325" t="s">
        <v>34</v>
      </c>
      <c r="F325" t="s">
        <v>35</v>
      </c>
      <c r="G325" t="s">
        <v>22</v>
      </c>
      <c r="H325" t="s">
        <v>23</v>
      </c>
      <c r="I325" t="s">
        <v>24</v>
      </c>
      <c r="J325">
        <v>55.97</v>
      </c>
      <c r="K325">
        <v>7</v>
      </c>
      <c r="L325">
        <v>19.589500000000001</v>
      </c>
      <c r="M325">
        <v>411.37950000000001</v>
      </c>
      <c r="N325" s="1">
        <v>43529</v>
      </c>
      <c r="O325" s="2">
        <v>0.79583333333333328</v>
      </c>
      <c r="P325" t="s">
        <v>25</v>
      </c>
      <c r="Q325">
        <v>391.79</v>
      </c>
      <c r="R325">
        <v>4.7619047620000003</v>
      </c>
      <c r="S325">
        <v>19.589500000000001</v>
      </c>
      <c r="T325">
        <v>8.9</v>
      </c>
    </row>
    <row r="326" spans="1:20" x14ac:dyDescent="0.3">
      <c r="A326">
        <v>873</v>
      </c>
      <c r="C326">
        <v>95</v>
      </c>
      <c r="D326">
        <v>4984</v>
      </c>
      <c r="E326" t="s">
        <v>34</v>
      </c>
      <c r="F326" t="s">
        <v>35</v>
      </c>
      <c r="G326" t="s">
        <v>22</v>
      </c>
      <c r="H326" t="s">
        <v>23</v>
      </c>
      <c r="I326" t="s">
        <v>24</v>
      </c>
      <c r="J326">
        <v>76.900000000000006</v>
      </c>
      <c r="K326">
        <v>7</v>
      </c>
      <c r="L326">
        <v>26.914999999999999</v>
      </c>
      <c r="M326">
        <v>565.21500000000003</v>
      </c>
      <c r="N326" s="1">
        <v>43511</v>
      </c>
      <c r="O326" s="2">
        <v>0.84791666666666665</v>
      </c>
      <c r="P326" t="s">
        <v>30</v>
      </c>
      <c r="Q326">
        <v>538.29999999999995</v>
      </c>
      <c r="R326">
        <v>4.7619047620000003</v>
      </c>
      <c r="S326">
        <v>26.914999999999999</v>
      </c>
      <c r="T326">
        <v>7.7</v>
      </c>
    </row>
    <row r="327" spans="1:20" x14ac:dyDescent="0.3">
      <c r="A327">
        <v>416</v>
      </c>
      <c r="C327">
        <v>13</v>
      </c>
      <c r="D327">
        <v>5917</v>
      </c>
      <c r="E327" t="s">
        <v>26</v>
      </c>
      <c r="F327" t="s">
        <v>27</v>
      </c>
      <c r="G327" t="s">
        <v>28</v>
      </c>
      <c r="H327" t="s">
        <v>23</v>
      </c>
      <c r="I327" t="s">
        <v>36</v>
      </c>
      <c r="J327">
        <v>97.03</v>
      </c>
      <c r="K327">
        <v>5</v>
      </c>
      <c r="L327">
        <v>24.2575</v>
      </c>
      <c r="M327">
        <v>509.40750000000003</v>
      </c>
      <c r="N327" s="1">
        <v>43495</v>
      </c>
      <c r="O327" s="2">
        <v>0.68333333333333335</v>
      </c>
      <c r="P327" t="s">
        <v>25</v>
      </c>
      <c r="Q327">
        <v>485.15</v>
      </c>
      <c r="R327">
        <v>4.7619047620000003</v>
      </c>
      <c r="S327">
        <v>24.2575</v>
      </c>
      <c r="T327">
        <v>9.3000000000000007</v>
      </c>
    </row>
    <row r="328" spans="1:20" x14ac:dyDescent="0.3">
      <c r="A328">
        <v>150</v>
      </c>
      <c r="C328">
        <v>89</v>
      </c>
      <c r="D328">
        <v>8043</v>
      </c>
      <c r="E328" t="s">
        <v>20</v>
      </c>
      <c r="F328" t="s">
        <v>21</v>
      </c>
      <c r="G328" t="s">
        <v>28</v>
      </c>
      <c r="H328" t="s">
        <v>38</v>
      </c>
      <c r="I328" t="s">
        <v>33</v>
      </c>
      <c r="J328">
        <v>44.65</v>
      </c>
      <c r="K328">
        <v>3</v>
      </c>
      <c r="L328">
        <v>6.6974999999999998</v>
      </c>
      <c r="M328">
        <v>140.64750000000001</v>
      </c>
      <c r="N328" s="1">
        <v>43510</v>
      </c>
      <c r="O328" s="2">
        <v>0.62777777777777777</v>
      </c>
      <c r="P328" t="s">
        <v>30</v>
      </c>
      <c r="Q328">
        <v>133.94999999999999</v>
      </c>
      <c r="R328">
        <v>4.7619047620000003</v>
      </c>
      <c r="S328">
        <v>6.6974999999999998</v>
      </c>
      <c r="T328">
        <v>6.2</v>
      </c>
    </row>
    <row r="329" spans="1:20" x14ac:dyDescent="0.3">
      <c r="A329">
        <v>135</v>
      </c>
      <c r="C329">
        <v>84</v>
      </c>
      <c r="D329">
        <v>8019</v>
      </c>
      <c r="E329" t="s">
        <v>20</v>
      </c>
      <c r="F329" t="s">
        <v>21</v>
      </c>
      <c r="G329" t="s">
        <v>28</v>
      </c>
      <c r="H329" t="s">
        <v>23</v>
      </c>
      <c r="I329" t="s">
        <v>37</v>
      </c>
      <c r="J329">
        <v>77.930000000000007</v>
      </c>
      <c r="K329">
        <v>9</v>
      </c>
      <c r="L329">
        <v>35.0685</v>
      </c>
      <c r="M329">
        <v>736.43849999999998</v>
      </c>
      <c r="N329" s="1">
        <v>43523</v>
      </c>
      <c r="O329" s="2">
        <v>0.67361111111111116</v>
      </c>
      <c r="P329" t="s">
        <v>25</v>
      </c>
      <c r="Q329">
        <v>701.37</v>
      </c>
      <c r="R329">
        <v>4.7619047620000003</v>
      </c>
      <c r="S329">
        <v>35.0685</v>
      </c>
      <c r="T329">
        <v>7.6</v>
      </c>
    </row>
    <row r="330" spans="1:20" x14ac:dyDescent="0.3">
      <c r="A330">
        <v>441</v>
      </c>
      <c r="C330">
        <v>94</v>
      </c>
      <c r="D330">
        <v>7118</v>
      </c>
      <c r="E330" t="s">
        <v>20</v>
      </c>
      <c r="F330" t="s">
        <v>21</v>
      </c>
      <c r="G330" t="s">
        <v>22</v>
      </c>
      <c r="H330" t="s">
        <v>38</v>
      </c>
      <c r="I330" t="s">
        <v>29</v>
      </c>
      <c r="J330">
        <v>71.95</v>
      </c>
      <c r="K330">
        <v>1</v>
      </c>
      <c r="L330">
        <v>3.5975000000000001</v>
      </c>
      <c r="M330">
        <v>75.547499999999999</v>
      </c>
      <c r="N330" s="1">
        <v>43500</v>
      </c>
      <c r="O330" s="2">
        <v>0.50972222222222219</v>
      </c>
      <c r="P330" t="s">
        <v>30</v>
      </c>
      <c r="Q330">
        <v>71.95</v>
      </c>
      <c r="R330">
        <v>4.7619047620000003</v>
      </c>
      <c r="S330">
        <v>3.5975000000000001</v>
      </c>
      <c r="T330">
        <v>7.3</v>
      </c>
    </row>
    <row r="331" spans="1:20" x14ac:dyDescent="0.3">
      <c r="A331">
        <v>725</v>
      </c>
      <c r="C331">
        <v>96</v>
      </c>
      <c r="D331">
        <v>3778</v>
      </c>
      <c r="E331" t="s">
        <v>26</v>
      </c>
      <c r="F331" t="s">
        <v>27</v>
      </c>
      <c r="G331" t="s">
        <v>22</v>
      </c>
      <c r="H331" t="s">
        <v>23</v>
      </c>
      <c r="I331" t="s">
        <v>31</v>
      </c>
      <c r="J331">
        <v>89.25</v>
      </c>
      <c r="K331">
        <v>8</v>
      </c>
      <c r="L331">
        <v>35.700000000000003</v>
      </c>
      <c r="M331">
        <v>749.7</v>
      </c>
      <c r="N331" s="1">
        <v>43485</v>
      </c>
      <c r="O331" s="2">
        <v>0.42569444444444443</v>
      </c>
      <c r="P331" t="s">
        <v>30</v>
      </c>
      <c r="Q331">
        <v>714</v>
      </c>
      <c r="R331">
        <v>4.7619047620000003</v>
      </c>
      <c r="S331">
        <v>35.700000000000003</v>
      </c>
      <c r="T331">
        <v>4.7</v>
      </c>
    </row>
    <row r="332" spans="1:20" x14ac:dyDescent="0.3">
      <c r="A332">
        <v>531</v>
      </c>
      <c r="C332">
        <v>80</v>
      </c>
      <c r="D332">
        <v>1784</v>
      </c>
      <c r="E332" t="s">
        <v>20</v>
      </c>
      <c r="F332" t="s">
        <v>21</v>
      </c>
      <c r="G332" t="s">
        <v>28</v>
      </c>
      <c r="H332" t="s">
        <v>38</v>
      </c>
      <c r="I332" t="s">
        <v>29</v>
      </c>
      <c r="J332">
        <v>26.02</v>
      </c>
      <c r="K332">
        <v>7</v>
      </c>
      <c r="L332">
        <v>9.1069999999999993</v>
      </c>
      <c r="M332">
        <v>191.24700000000001</v>
      </c>
      <c r="N332" s="1">
        <v>43552</v>
      </c>
      <c r="O332" s="2">
        <v>0.73472222222222228</v>
      </c>
      <c r="P332" t="s">
        <v>30</v>
      </c>
      <c r="Q332">
        <v>182.14</v>
      </c>
      <c r="R332">
        <v>4.7619047620000003</v>
      </c>
      <c r="S332">
        <v>9.1069999999999993</v>
      </c>
      <c r="T332">
        <v>5.0999999999999996</v>
      </c>
    </row>
    <row r="333" spans="1:20" x14ac:dyDescent="0.3">
      <c r="A333">
        <v>400</v>
      </c>
      <c r="C333">
        <v>45</v>
      </c>
      <c r="D333">
        <v>1220</v>
      </c>
      <c r="E333" t="s">
        <v>34</v>
      </c>
      <c r="F333" t="s">
        <v>35</v>
      </c>
      <c r="G333" t="s">
        <v>28</v>
      </c>
      <c r="H333" t="s">
        <v>23</v>
      </c>
      <c r="I333" t="s">
        <v>24</v>
      </c>
      <c r="J333">
        <v>13.5</v>
      </c>
      <c r="K333">
        <v>10</v>
      </c>
      <c r="L333">
        <v>6.75</v>
      </c>
      <c r="M333">
        <v>141.75</v>
      </c>
      <c r="N333" s="1">
        <v>43523</v>
      </c>
      <c r="O333" s="2">
        <v>0.46250000000000002</v>
      </c>
      <c r="P333" t="s">
        <v>32</v>
      </c>
      <c r="Q333">
        <v>135</v>
      </c>
      <c r="R333">
        <v>4.7619047620000003</v>
      </c>
      <c r="S333">
        <v>6.75</v>
      </c>
      <c r="T333">
        <v>4.8</v>
      </c>
    </row>
    <row r="334" spans="1:20" x14ac:dyDescent="0.3">
      <c r="A334">
        <v>860</v>
      </c>
      <c r="C334">
        <v>79</v>
      </c>
      <c r="D334">
        <v>874</v>
      </c>
      <c r="E334" t="s">
        <v>26</v>
      </c>
      <c r="F334" t="s">
        <v>27</v>
      </c>
      <c r="G334" t="s">
        <v>22</v>
      </c>
      <c r="H334" t="s">
        <v>23</v>
      </c>
      <c r="I334" t="s">
        <v>37</v>
      </c>
      <c r="J334">
        <v>99.3</v>
      </c>
      <c r="K334">
        <v>10</v>
      </c>
      <c r="L334">
        <v>49.65</v>
      </c>
      <c r="M334">
        <v>1042.6500000000001</v>
      </c>
      <c r="N334" s="1">
        <v>43511</v>
      </c>
      <c r="O334" s="2">
        <v>0.62013888888888891</v>
      </c>
      <c r="P334" t="s">
        <v>32</v>
      </c>
      <c r="Q334">
        <v>993</v>
      </c>
      <c r="R334">
        <v>4.7619047620000003</v>
      </c>
      <c r="S334">
        <v>49.65</v>
      </c>
      <c r="T334">
        <v>6.6</v>
      </c>
    </row>
    <row r="335" spans="1:20" x14ac:dyDescent="0.3">
      <c r="A335">
        <v>834</v>
      </c>
      <c r="C335">
        <v>61</v>
      </c>
      <c r="D335">
        <v>8124</v>
      </c>
      <c r="E335" t="s">
        <v>20</v>
      </c>
      <c r="F335" t="s">
        <v>21</v>
      </c>
      <c r="G335" t="s">
        <v>28</v>
      </c>
      <c r="H335" t="s">
        <v>38</v>
      </c>
      <c r="I335" t="s">
        <v>29</v>
      </c>
      <c r="J335">
        <v>51.69</v>
      </c>
      <c r="K335">
        <v>7</v>
      </c>
      <c r="L335">
        <v>18.0915</v>
      </c>
      <c r="M335">
        <v>379.92149999999998</v>
      </c>
      <c r="N335" s="1">
        <v>43491</v>
      </c>
      <c r="O335" s="2">
        <v>0.76527777777777772</v>
      </c>
      <c r="P335" t="s">
        <v>30</v>
      </c>
      <c r="Q335">
        <v>361.83</v>
      </c>
      <c r="R335">
        <v>4.7619047620000003</v>
      </c>
      <c r="S335">
        <v>18.0915</v>
      </c>
      <c r="T335">
        <v>5.5</v>
      </c>
    </row>
    <row r="336" spans="1:20" x14ac:dyDescent="0.3">
      <c r="A336">
        <v>115</v>
      </c>
      <c r="C336">
        <v>99</v>
      </c>
      <c r="D336">
        <v>4379</v>
      </c>
      <c r="E336" t="s">
        <v>34</v>
      </c>
      <c r="F336" t="s">
        <v>35</v>
      </c>
      <c r="G336" t="s">
        <v>22</v>
      </c>
      <c r="H336" t="s">
        <v>23</v>
      </c>
      <c r="I336" t="s">
        <v>37</v>
      </c>
      <c r="J336">
        <v>54.73</v>
      </c>
      <c r="K336">
        <v>7</v>
      </c>
      <c r="L336">
        <v>19.1555</v>
      </c>
      <c r="M336">
        <v>402.26549999999997</v>
      </c>
      <c r="N336" s="1">
        <v>43538</v>
      </c>
      <c r="O336" s="2">
        <v>0.79305555555555551</v>
      </c>
      <c r="P336" t="s">
        <v>32</v>
      </c>
      <c r="Q336">
        <v>383.11</v>
      </c>
      <c r="R336">
        <v>4.7619047620000003</v>
      </c>
      <c r="S336">
        <v>19.1555</v>
      </c>
      <c r="T336">
        <v>8.5</v>
      </c>
    </row>
    <row r="337" spans="1:20" x14ac:dyDescent="0.3">
      <c r="A337">
        <v>565</v>
      </c>
      <c r="C337">
        <v>67</v>
      </c>
      <c r="D337">
        <v>6697</v>
      </c>
      <c r="E337" t="s">
        <v>34</v>
      </c>
      <c r="F337" t="s">
        <v>35</v>
      </c>
      <c r="G337" t="s">
        <v>22</v>
      </c>
      <c r="H337" t="s">
        <v>38</v>
      </c>
      <c r="I337" t="s">
        <v>31</v>
      </c>
      <c r="J337">
        <v>27</v>
      </c>
      <c r="K337">
        <v>9</v>
      </c>
      <c r="L337">
        <v>12.15</v>
      </c>
      <c r="M337">
        <v>255.15</v>
      </c>
      <c r="N337" s="1">
        <v>43526</v>
      </c>
      <c r="O337" s="2">
        <v>0.59444444444444444</v>
      </c>
      <c r="P337" t="s">
        <v>30</v>
      </c>
      <c r="Q337">
        <v>243</v>
      </c>
      <c r="R337">
        <v>4.7619047620000003</v>
      </c>
      <c r="S337">
        <v>12.15</v>
      </c>
      <c r="T337">
        <v>4.8</v>
      </c>
    </row>
    <row r="338" spans="1:20" x14ac:dyDescent="0.3">
      <c r="A338">
        <v>320</v>
      </c>
      <c r="C338">
        <v>49</v>
      </c>
      <c r="D338">
        <v>6392</v>
      </c>
      <c r="E338" t="s">
        <v>26</v>
      </c>
      <c r="F338" t="s">
        <v>27</v>
      </c>
      <c r="G338" t="s">
        <v>28</v>
      </c>
      <c r="H338" t="s">
        <v>23</v>
      </c>
      <c r="I338" t="s">
        <v>29</v>
      </c>
      <c r="J338">
        <v>30.24</v>
      </c>
      <c r="K338">
        <v>1</v>
      </c>
      <c r="L338">
        <v>1.512</v>
      </c>
      <c r="M338">
        <v>31.751999999999999</v>
      </c>
      <c r="N338" s="1">
        <v>43528</v>
      </c>
      <c r="O338" s="2">
        <v>0.65555555555555556</v>
      </c>
      <c r="P338" t="s">
        <v>30</v>
      </c>
      <c r="Q338">
        <v>30.24</v>
      </c>
      <c r="R338">
        <v>4.7619047620000003</v>
      </c>
      <c r="S338">
        <v>1.512</v>
      </c>
      <c r="T338">
        <v>8.4</v>
      </c>
    </row>
    <row r="339" spans="1:20" x14ac:dyDescent="0.3">
      <c r="A339">
        <v>889</v>
      </c>
      <c r="C339">
        <v>4</v>
      </c>
      <c r="D339">
        <v>9723</v>
      </c>
      <c r="E339" t="s">
        <v>34</v>
      </c>
      <c r="F339" t="s">
        <v>35</v>
      </c>
      <c r="G339" t="s">
        <v>22</v>
      </c>
      <c r="H339" t="s">
        <v>23</v>
      </c>
      <c r="I339" t="s">
        <v>36</v>
      </c>
      <c r="J339">
        <v>89.14</v>
      </c>
      <c r="K339">
        <v>4</v>
      </c>
      <c r="L339">
        <v>17.827999999999999</v>
      </c>
      <c r="M339">
        <v>374.38799999999998</v>
      </c>
      <c r="N339" s="1">
        <v>43472</v>
      </c>
      <c r="O339" s="2">
        <v>0.51388888888888884</v>
      </c>
      <c r="P339" t="s">
        <v>32</v>
      </c>
      <c r="Q339">
        <v>356.56</v>
      </c>
      <c r="R339">
        <v>4.7619047620000003</v>
      </c>
      <c r="S339">
        <v>17.827999999999999</v>
      </c>
      <c r="T339">
        <v>7.8</v>
      </c>
    </row>
    <row r="340" spans="1:20" x14ac:dyDescent="0.3">
      <c r="A340">
        <v>632</v>
      </c>
      <c r="C340">
        <v>90</v>
      </c>
      <c r="D340">
        <v>281</v>
      </c>
      <c r="E340" t="s">
        <v>26</v>
      </c>
      <c r="F340" t="s">
        <v>27</v>
      </c>
      <c r="G340" t="s">
        <v>28</v>
      </c>
      <c r="H340" t="s">
        <v>23</v>
      </c>
      <c r="I340" t="s">
        <v>37</v>
      </c>
      <c r="J340">
        <v>37.549999999999997</v>
      </c>
      <c r="K340">
        <v>10</v>
      </c>
      <c r="L340">
        <v>18.774999999999999</v>
      </c>
      <c r="M340">
        <v>394.27499999999998</v>
      </c>
      <c r="N340" s="1">
        <v>43532</v>
      </c>
      <c r="O340" s="2">
        <v>0.83402777777777781</v>
      </c>
      <c r="P340" t="s">
        <v>32</v>
      </c>
      <c r="Q340">
        <v>375.5</v>
      </c>
      <c r="R340">
        <v>4.7619047620000003</v>
      </c>
      <c r="S340">
        <v>18.774999999999999</v>
      </c>
      <c r="T340">
        <v>9.3000000000000007</v>
      </c>
    </row>
    <row r="341" spans="1:20" x14ac:dyDescent="0.3">
      <c r="A341">
        <v>554</v>
      </c>
      <c r="C341">
        <v>42</v>
      </c>
      <c r="D341">
        <v>2417</v>
      </c>
      <c r="E341" t="s">
        <v>26</v>
      </c>
      <c r="F341" t="s">
        <v>27</v>
      </c>
      <c r="G341" t="s">
        <v>28</v>
      </c>
      <c r="H341" t="s">
        <v>23</v>
      </c>
      <c r="I341" t="s">
        <v>33</v>
      </c>
      <c r="J341">
        <v>95.44</v>
      </c>
      <c r="K341">
        <v>10</v>
      </c>
      <c r="L341">
        <v>47.72</v>
      </c>
      <c r="M341">
        <v>1002.12</v>
      </c>
      <c r="N341" s="1">
        <v>43474</v>
      </c>
      <c r="O341" s="2">
        <v>0.57291666666666663</v>
      </c>
      <c r="P341" t="s">
        <v>30</v>
      </c>
      <c r="Q341">
        <v>954.4</v>
      </c>
      <c r="R341">
        <v>4.7619047620000003</v>
      </c>
      <c r="S341">
        <v>47.72</v>
      </c>
      <c r="T341">
        <v>5.2</v>
      </c>
    </row>
    <row r="342" spans="1:20" x14ac:dyDescent="0.3">
      <c r="A342">
        <v>453</v>
      </c>
      <c r="C342">
        <v>63</v>
      </c>
      <c r="D342">
        <v>6187</v>
      </c>
      <c r="E342" t="s">
        <v>34</v>
      </c>
      <c r="F342" t="s">
        <v>35</v>
      </c>
      <c r="G342" t="s">
        <v>28</v>
      </c>
      <c r="H342" t="s">
        <v>38</v>
      </c>
      <c r="I342" t="s">
        <v>29</v>
      </c>
      <c r="J342">
        <v>27.5</v>
      </c>
      <c r="K342">
        <v>3</v>
      </c>
      <c r="L342">
        <v>4.125</v>
      </c>
      <c r="M342">
        <v>86.625</v>
      </c>
      <c r="N342" s="1">
        <v>43525</v>
      </c>
      <c r="O342" s="2">
        <v>0.65277777777777779</v>
      </c>
      <c r="P342" t="s">
        <v>25</v>
      </c>
      <c r="Q342">
        <v>82.5</v>
      </c>
      <c r="R342">
        <v>4.7619047620000003</v>
      </c>
      <c r="S342">
        <v>4.125</v>
      </c>
      <c r="T342">
        <v>6.5</v>
      </c>
    </row>
    <row r="343" spans="1:20" x14ac:dyDescent="0.3">
      <c r="A343">
        <v>578</v>
      </c>
      <c r="C343">
        <v>80</v>
      </c>
      <c r="D343">
        <v>7669</v>
      </c>
      <c r="E343" t="s">
        <v>34</v>
      </c>
      <c r="F343" t="s">
        <v>35</v>
      </c>
      <c r="G343" t="s">
        <v>28</v>
      </c>
      <c r="H343" t="s">
        <v>38</v>
      </c>
      <c r="I343" t="s">
        <v>33</v>
      </c>
      <c r="J343">
        <v>74.97</v>
      </c>
      <c r="K343">
        <v>1</v>
      </c>
      <c r="L343">
        <v>3.7484999999999999</v>
      </c>
      <c r="M343">
        <v>78.718500000000006</v>
      </c>
      <c r="N343" s="1">
        <v>43540</v>
      </c>
      <c r="O343" s="2">
        <v>0.70694444444444449</v>
      </c>
      <c r="P343" t="s">
        <v>30</v>
      </c>
      <c r="Q343">
        <v>74.97</v>
      </c>
      <c r="R343">
        <v>4.7619047620000003</v>
      </c>
      <c r="S343">
        <v>3.7484999999999999</v>
      </c>
      <c r="T343">
        <v>5.6</v>
      </c>
    </row>
    <row r="344" spans="1:20" x14ac:dyDescent="0.3">
      <c r="A344">
        <v>605</v>
      </c>
      <c r="C344">
        <v>72</v>
      </c>
      <c r="D344">
        <v>4132</v>
      </c>
      <c r="E344" t="s">
        <v>26</v>
      </c>
      <c r="F344" t="s">
        <v>27</v>
      </c>
      <c r="G344" t="s">
        <v>28</v>
      </c>
      <c r="H344" t="s">
        <v>23</v>
      </c>
      <c r="I344" t="s">
        <v>36</v>
      </c>
      <c r="J344">
        <v>94.47</v>
      </c>
      <c r="K344">
        <v>8</v>
      </c>
      <c r="L344">
        <v>37.787999999999997</v>
      </c>
      <c r="M344">
        <v>793.548</v>
      </c>
      <c r="N344" s="1">
        <v>43523</v>
      </c>
      <c r="O344" s="2">
        <v>0.6333333333333333</v>
      </c>
      <c r="P344" t="s">
        <v>30</v>
      </c>
      <c r="Q344">
        <v>755.76</v>
      </c>
      <c r="R344">
        <v>4.7619047620000003</v>
      </c>
      <c r="S344">
        <v>37.787999999999997</v>
      </c>
      <c r="T344">
        <v>9.1</v>
      </c>
    </row>
    <row r="345" spans="1:20" x14ac:dyDescent="0.3">
      <c r="A345">
        <v>471</v>
      </c>
      <c r="C345">
        <v>41</v>
      </c>
      <c r="D345">
        <v>2823</v>
      </c>
      <c r="E345" t="s">
        <v>26</v>
      </c>
      <c r="F345" t="s">
        <v>27</v>
      </c>
      <c r="G345" t="s">
        <v>28</v>
      </c>
      <c r="H345" t="s">
        <v>38</v>
      </c>
      <c r="I345" t="s">
        <v>36</v>
      </c>
      <c r="J345">
        <v>99.79</v>
      </c>
      <c r="K345">
        <v>2</v>
      </c>
      <c r="L345">
        <v>9.9789999999999992</v>
      </c>
      <c r="M345">
        <v>209.559</v>
      </c>
      <c r="N345" s="1">
        <v>43531</v>
      </c>
      <c r="O345" s="2">
        <v>0.85902777777777772</v>
      </c>
      <c r="P345" t="s">
        <v>25</v>
      </c>
      <c r="Q345">
        <v>199.58</v>
      </c>
      <c r="R345">
        <v>4.7619047620000003</v>
      </c>
      <c r="S345">
        <v>9.9789999999999992</v>
      </c>
      <c r="T345">
        <v>8</v>
      </c>
    </row>
    <row r="346" spans="1:20" x14ac:dyDescent="0.3">
      <c r="A346">
        <v>462</v>
      </c>
      <c r="C346">
        <v>67</v>
      </c>
      <c r="D346">
        <v>9126</v>
      </c>
      <c r="E346" t="s">
        <v>20</v>
      </c>
      <c r="F346" t="s">
        <v>21</v>
      </c>
      <c r="G346" t="s">
        <v>28</v>
      </c>
      <c r="H346" t="s">
        <v>38</v>
      </c>
      <c r="I346" t="s">
        <v>31</v>
      </c>
      <c r="J346">
        <v>73.22</v>
      </c>
      <c r="K346">
        <v>6</v>
      </c>
      <c r="L346">
        <v>21.966000000000001</v>
      </c>
      <c r="M346">
        <v>461.286</v>
      </c>
      <c r="N346" s="1">
        <v>43486</v>
      </c>
      <c r="O346" s="2">
        <v>0.73888888888888893</v>
      </c>
      <c r="P346" t="s">
        <v>30</v>
      </c>
      <c r="Q346">
        <v>439.32</v>
      </c>
      <c r="R346">
        <v>4.7619047620000003</v>
      </c>
      <c r="S346">
        <v>21.966000000000001</v>
      </c>
      <c r="T346">
        <v>7.2</v>
      </c>
    </row>
    <row r="347" spans="1:20" x14ac:dyDescent="0.3">
      <c r="A347">
        <v>272</v>
      </c>
      <c r="C347">
        <v>27</v>
      </c>
      <c r="D347">
        <v>9238</v>
      </c>
      <c r="E347" t="s">
        <v>26</v>
      </c>
      <c r="F347" t="s">
        <v>27</v>
      </c>
      <c r="G347" t="s">
        <v>28</v>
      </c>
      <c r="H347" t="s">
        <v>23</v>
      </c>
      <c r="I347" t="s">
        <v>36</v>
      </c>
      <c r="J347">
        <v>41.24</v>
      </c>
      <c r="K347">
        <v>4</v>
      </c>
      <c r="L347">
        <v>8.2479999999999993</v>
      </c>
      <c r="M347">
        <v>173.208</v>
      </c>
      <c r="N347" s="1">
        <v>43515</v>
      </c>
      <c r="O347" s="2">
        <v>0.68263888888888891</v>
      </c>
      <c r="P347" t="s">
        <v>30</v>
      </c>
      <c r="Q347">
        <v>164.96</v>
      </c>
      <c r="R347">
        <v>4.7619047620000003</v>
      </c>
      <c r="S347">
        <v>8.2479999999999993</v>
      </c>
      <c r="T347">
        <v>7.1</v>
      </c>
    </row>
    <row r="348" spans="1:20" x14ac:dyDescent="0.3">
      <c r="A348">
        <v>834</v>
      </c>
      <c r="C348">
        <v>25</v>
      </c>
      <c r="D348">
        <v>9262</v>
      </c>
      <c r="E348" t="s">
        <v>26</v>
      </c>
      <c r="F348" t="s">
        <v>27</v>
      </c>
      <c r="G348" t="s">
        <v>28</v>
      </c>
      <c r="H348" t="s">
        <v>23</v>
      </c>
      <c r="I348" t="s">
        <v>37</v>
      </c>
      <c r="J348">
        <v>81.680000000000007</v>
      </c>
      <c r="K348">
        <v>4</v>
      </c>
      <c r="L348">
        <v>16.335999999999999</v>
      </c>
      <c r="M348">
        <v>343.05599999999998</v>
      </c>
      <c r="N348" s="1">
        <v>43471</v>
      </c>
      <c r="O348" s="2">
        <v>0.5083333333333333</v>
      </c>
      <c r="P348" t="s">
        <v>30</v>
      </c>
      <c r="Q348">
        <v>326.72000000000003</v>
      </c>
      <c r="R348">
        <v>4.7619047620000003</v>
      </c>
      <c r="S348">
        <v>16.335999999999999</v>
      </c>
      <c r="T348">
        <v>9.1</v>
      </c>
    </row>
    <row r="349" spans="1:20" x14ac:dyDescent="0.3">
      <c r="A349">
        <v>122</v>
      </c>
      <c r="C349">
        <v>61</v>
      </c>
      <c r="D349">
        <v>9553</v>
      </c>
      <c r="E349" t="s">
        <v>26</v>
      </c>
      <c r="F349" t="s">
        <v>27</v>
      </c>
      <c r="G349" t="s">
        <v>28</v>
      </c>
      <c r="H349" t="s">
        <v>23</v>
      </c>
      <c r="I349" t="s">
        <v>29</v>
      </c>
      <c r="J349">
        <v>51.32</v>
      </c>
      <c r="K349">
        <v>9</v>
      </c>
      <c r="L349">
        <v>23.094000000000001</v>
      </c>
      <c r="M349">
        <v>484.97399999999999</v>
      </c>
      <c r="N349" s="1">
        <v>43538</v>
      </c>
      <c r="O349" s="2">
        <v>0.81458333333333333</v>
      </c>
      <c r="P349" t="s">
        <v>30</v>
      </c>
      <c r="Q349">
        <v>461.88</v>
      </c>
      <c r="R349">
        <v>4.7619047620000003</v>
      </c>
      <c r="S349">
        <v>23.094000000000001</v>
      </c>
      <c r="T349">
        <v>5.6</v>
      </c>
    </row>
    <row r="350" spans="1:20" x14ac:dyDescent="0.3">
      <c r="A350">
        <v>468</v>
      </c>
      <c r="C350">
        <v>88</v>
      </c>
      <c r="D350">
        <v>9</v>
      </c>
      <c r="E350" t="s">
        <v>20</v>
      </c>
      <c r="F350" t="s">
        <v>21</v>
      </c>
      <c r="G350" t="s">
        <v>22</v>
      </c>
      <c r="H350" t="s">
        <v>38</v>
      </c>
      <c r="I350" t="s">
        <v>31</v>
      </c>
      <c r="J350">
        <v>65.94</v>
      </c>
      <c r="K350">
        <v>4</v>
      </c>
      <c r="L350">
        <v>13.188000000000001</v>
      </c>
      <c r="M350">
        <v>276.94799999999998</v>
      </c>
      <c r="N350" s="1">
        <v>43548</v>
      </c>
      <c r="O350" s="2">
        <v>0.43680555555555556</v>
      </c>
      <c r="P350" t="s">
        <v>30</v>
      </c>
      <c r="Q350">
        <v>263.76</v>
      </c>
      <c r="R350">
        <v>4.7619047620000003</v>
      </c>
      <c r="S350">
        <v>13.188000000000001</v>
      </c>
      <c r="T350">
        <v>6</v>
      </c>
    </row>
    <row r="351" spans="1:20" x14ac:dyDescent="0.3">
      <c r="A351">
        <v>613</v>
      </c>
      <c r="C351">
        <v>59</v>
      </c>
      <c r="D351">
        <v>9758</v>
      </c>
      <c r="E351" t="s">
        <v>26</v>
      </c>
      <c r="F351" t="s">
        <v>27</v>
      </c>
      <c r="G351" t="s">
        <v>28</v>
      </c>
      <c r="H351" t="s">
        <v>23</v>
      </c>
      <c r="I351" t="s">
        <v>33</v>
      </c>
      <c r="J351">
        <v>14.36</v>
      </c>
      <c r="K351">
        <v>10</v>
      </c>
      <c r="L351">
        <v>7.18</v>
      </c>
      <c r="M351">
        <v>150.78</v>
      </c>
      <c r="N351" s="1">
        <v>43492</v>
      </c>
      <c r="O351" s="2">
        <v>0.60277777777777775</v>
      </c>
      <c r="P351" t="s">
        <v>30</v>
      </c>
      <c r="Q351">
        <v>143.6</v>
      </c>
      <c r="R351">
        <v>4.7619047620000003</v>
      </c>
      <c r="S351">
        <v>7.18</v>
      </c>
      <c r="T351">
        <v>5.4</v>
      </c>
    </row>
    <row r="352" spans="1:20" x14ac:dyDescent="0.3">
      <c r="A352">
        <v>254</v>
      </c>
      <c r="C352">
        <v>31</v>
      </c>
      <c r="D352">
        <v>42</v>
      </c>
      <c r="E352" t="s">
        <v>20</v>
      </c>
      <c r="F352" t="s">
        <v>21</v>
      </c>
      <c r="G352" t="s">
        <v>22</v>
      </c>
      <c r="H352" t="s">
        <v>38</v>
      </c>
      <c r="I352" t="s">
        <v>29</v>
      </c>
      <c r="J352">
        <v>21.5</v>
      </c>
      <c r="K352">
        <v>9</v>
      </c>
      <c r="L352">
        <v>9.6750000000000007</v>
      </c>
      <c r="M352">
        <v>203.17500000000001</v>
      </c>
      <c r="N352" s="1">
        <v>43530</v>
      </c>
      <c r="O352" s="2">
        <v>0.53194444444444444</v>
      </c>
      <c r="P352" t="s">
        <v>32</v>
      </c>
      <c r="Q352">
        <v>193.5</v>
      </c>
      <c r="R352">
        <v>4.7619047620000003</v>
      </c>
      <c r="S352">
        <v>9.6750000000000007</v>
      </c>
      <c r="T352">
        <v>7.8</v>
      </c>
    </row>
    <row r="353" spans="1:20" x14ac:dyDescent="0.3">
      <c r="A353">
        <v>201</v>
      </c>
      <c r="C353">
        <v>86</v>
      </c>
      <c r="D353">
        <v>2184</v>
      </c>
      <c r="E353" t="s">
        <v>34</v>
      </c>
      <c r="F353" t="s">
        <v>35</v>
      </c>
      <c r="G353" t="s">
        <v>22</v>
      </c>
      <c r="H353" t="s">
        <v>23</v>
      </c>
      <c r="I353" t="s">
        <v>29</v>
      </c>
      <c r="J353">
        <v>26.26</v>
      </c>
      <c r="K353">
        <v>7</v>
      </c>
      <c r="L353">
        <v>9.1910000000000007</v>
      </c>
      <c r="M353">
        <v>193.011</v>
      </c>
      <c r="N353" s="1">
        <v>43498</v>
      </c>
      <c r="O353" s="2">
        <v>0.81944444444444442</v>
      </c>
      <c r="P353" t="s">
        <v>30</v>
      </c>
      <c r="Q353">
        <v>183.82</v>
      </c>
      <c r="R353">
        <v>4.7619047620000003</v>
      </c>
      <c r="S353">
        <v>9.1910000000000007</v>
      </c>
      <c r="T353">
        <v>9.9</v>
      </c>
    </row>
    <row r="354" spans="1:20" x14ac:dyDescent="0.3">
      <c r="A354">
        <v>261</v>
      </c>
      <c r="C354">
        <v>12</v>
      </c>
      <c r="D354">
        <v>8671</v>
      </c>
      <c r="E354" t="s">
        <v>34</v>
      </c>
      <c r="F354" t="s">
        <v>35</v>
      </c>
      <c r="G354" t="s">
        <v>28</v>
      </c>
      <c r="H354" t="s">
        <v>23</v>
      </c>
      <c r="I354" t="s">
        <v>37</v>
      </c>
      <c r="J354">
        <v>60.96</v>
      </c>
      <c r="K354">
        <v>2</v>
      </c>
      <c r="L354">
        <v>6.0960000000000001</v>
      </c>
      <c r="M354">
        <v>128.01599999999999</v>
      </c>
      <c r="N354" s="1">
        <v>43490</v>
      </c>
      <c r="O354" s="2">
        <v>0.81874999999999998</v>
      </c>
      <c r="P354" t="s">
        <v>32</v>
      </c>
      <c r="Q354">
        <v>121.92</v>
      </c>
      <c r="R354">
        <v>4.7619047620000003</v>
      </c>
      <c r="S354">
        <v>6.0960000000000001</v>
      </c>
      <c r="T354">
        <v>4.9000000000000004</v>
      </c>
    </row>
    <row r="355" spans="1:20" x14ac:dyDescent="0.3">
      <c r="A355">
        <v>730</v>
      </c>
      <c r="C355">
        <v>70</v>
      </c>
      <c r="D355">
        <v>9830</v>
      </c>
      <c r="E355" t="s">
        <v>26</v>
      </c>
      <c r="F355" t="s">
        <v>27</v>
      </c>
      <c r="G355" t="s">
        <v>28</v>
      </c>
      <c r="H355" t="s">
        <v>23</v>
      </c>
      <c r="I355" t="s">
        <v>31</v>
      </c>
      <c r="J355">
        <v>70.11</v>
      </c>
      <c r="K355">
        <v>6</v>
      </c>
      <c r="L355">
        <v>21.033000000000001</v>
      </c>
      <c r="M355">
        <v>441.69299999999998</v>
      </c>
      <c r="N355" s="1">
        <v>43538</v>
      </c>
      <c r="O355" s="2">
        <v>0.74583333333333335</v>
      </c>
      <c r="P355" t="s">
        <v>25</v>
      </c>
      <c r="Q355">
        <v>420.66</v>
      </c>
      <c r="R355">
        <v>4.7619047620000003</v>
      </c>
      <c r="S355">
        <v>21.033000000000001</v>
      </c>
      <c r="T355">
        <v>5.2</v>
      </c>
    </row>
    <row r="356" spans="1:20" x14ac:dyDescent="0.3">
      <c r="A356">
        <v>382</v>
      </c>
      <c r="C356">
        <v>25</v>
      </c>
      <c r="D356">
        <v>8917</v>
      </c>
      <c r="E356" t="s">
        <v>26</v>
      </c>
      <c r="F356" t="s">
        <v>27</v>
      </c>
      <c r="G356" t="s">
        <v>28</v>
      </c>
      <c r="H356" t="s">
        <v>38</v>
      </c>
      <c r="I356" t="s">
        <v>37</v>
      </c>
      <c r="J356">
        <v>42.08</v>
      </c>
      <c r="K356">
        <v>6</v>
      </c>
      <c r="L356">
        <v>12.624000000000001</v>
      </c>
      <c r="M356">
        <v>265.10399999999998</v>
      </c>
      <c r="N356" s="1">
        <v>43494</v>
      </c>
      <c r="O356" s="2">
        <v>0.51736111111111116</v>
      </c>
      <c r="P356" t="s">
        <v>30</v>
      </c>
      <c r="Q356">
        <v>252.48</v>
      </c>
      <c r="R356">
        <v>4.7619047620000003</v>
      </c>
      <c r="S356">
        <v>12.624000000000001</v>
      </c>
      <c r="T356">
        <v>8.9</v>
      </c>
    </row>
    <row r="357" spans="1:20" x14ac:dyDescent="0.3">
      <c r="A357">
        <v>422</v>
      </c>
      <c r="C357">
        <v>29</v>
      </c>
      <c r="D357">
        <v>8786</v>
      </c>
      <c r="E357" t="s">
        <v>20</v>
      </c>
      <c r="F357" t="s">
        <v>21</v>
      </c>
      <c r="G357" t="s">
        <v>28</v>
      </c>
      <c r="H357" t="s">
        <v>23</v>
      </c>
      <c r="I357" t="s">
        <v>31</v>
      </c>
      <c r="J357">
        <v>67.09</v>
      </c>
      <c r="K357">
        <v>5</v>
      </c>
      <c r="L357">
        <v>16.772500000000001</v>
      </c>
      <c r="M357">
        <v>352.22250000000003</v>
      </c>
      <c r="N357" s="1">
        <v>43468</v>
      </c>
      <c r="O357" s="2">
        <v>0.69930555555555551</v>
      </c>
      <c r="P357" t="s">
        <v>32</v>
      </c>
      <c r="Q357">
        <v>335.45</v>
      </c>
      <c r="R357">
        <v>4.7619047620000003</v>
      </c>
      <c r="S357">
        <v>16.772500000000001</v>
      </c>
      <c r="T357">
        <v>9.1</v>
      </c>
    </row>
    <row r="358" spans="1:20" x14ac:dyDescent="0.3">
      <c r="A358">
        <v>667</v>
      </c>
      <c r="C358">
        <v>23</v>
      </c>
      <c r="D358">
        <v>5919</v>
      </c>
      <c r="E358" t="s">
        <v>20</v>
      </c>
      <c r="F358" t="s">
        <v>21</v>
      </c>
      <c r="G358" t="s">
        <v>22</v>
      </c>
      <c r="H358" t="s">
        <v>23</v>
      </c>
      <c r="I358" t="s">
        <v>37</v>
      </c>
      <c r="J358">
        <v>96.7</v>
      </c>
      <c r="K358">
        <v>5</v>
      </c>
      <c r="L358">
        <v>24.175000000000001</v>
      </c>
      <c r="M358">
        <v>507.67500000000001</v>
      </c>
      <c r="N358" s="1">
        <v>43479</v>
      </c>
      <c r="O358" s="2">
        <v>0.53611111111111109</v>
      </c>
      <c r="P358" t="s">
        <v>25</v>
      </c>
      <c r="Q358">
        <v>483.5</v>
      </c>
      <c r="R358">
        <v>4.7619047620000003</v>
      </c>
      <c r="S358">
        <v>24.175000000000001</v>
      </c>
      <c r="T358">
        <v>7</v>
      </c>
    </row>
    <row r="359" spans="1:20" x14ac:dyDescent="0.3">
      <c r="A359">
        <v>843</v>
      </c>
      <c r="C359">
        <v>1</v>
      </c>
      <c r="D359">
        <v>4703</v>
      </c>
      <c r="E359" t="s">
        <v>34</v>
      </c>
      <c r="F359" t="s">
        <v>35</v>
      </c>
      <c r="G359" t="s">
        <v>22</v>
      </c>
      <c r="H359" t="s">
        <v>23</v>
      </c>
      <c r="I359" t="s">
        <v>31</v>
      </c>
      <c r="J359">
        <v>35.380000000000003</v>
      </c>
      <c r="K359">
        <v>9</v>
      </c>
      <c r="L359">
        <v>15.920999999999999</v>
      </c>
      <c r="M359">
        <v>334.34100000000001</v>
      </c>
      <c r="N359" s="1">
        <v>43470</v>
      </c>
      <c r="O359" s="2">
        <v>0.82638888888888884</v>
      </c>
      <c r="P359" t="s">
        <v>32</v>
      </c>
      <c r="Q359">
        <v>318.42</v>
      </c>
      <c r="R359">
        <v>4.7619047620000003</v>
      </c>
      <c r="S359">
        <v>15.920999999999999</v>
      </c>
      <c r="T359">
        <v>9.6</v>
      </c>
    </row>
    <row r="360" spans="1:20" x14ac:dyDescent="0.3">
      <c r="A360">
        <v>743</v>
      </c>
      <c r="C360">
        <v>88</v>
      </c>
      <c r="D360">
        <v>1662</v>
      </c>
      <c r="E360" t="s">
        <v>26</v>
      </c>
      <c r="F360" t="s">
        <v>27</v>
      </c>
      <c r="G360" t="s">
        <v>28</v>
      </c>
      <c r="H360" t="s">
        <v>38</v>
      </c>
      <c r="I360" t="s">
        <v>33</v>
      </c>
      <c r="J360">
        <v>95.49</v>
      </c>
      <c r="K360">
        <v>7</v>
      </c>
      <c r="L360">
        <v>33.421500000000002</v>
      </c>
      <c r="M360">
        <v>701.85149999999999</v>
      </c>
      <c r="N360" s="1">
        <v>43518</v>
      </c>
      <c r="O360" s="2">
        <v>0.76180555555555551</v>
      </c>
      <c r="P360" t="s">
        <v>25</v>
      </c>
      <c r="Q360">
        <v>668.43</v>
      </c>
      <c r="R360">
        <v>4.7619047620000003</v>
      </c>
      <c r="S360">
        <v>33.421500000000002</v>
      </c>
      <c r="T360">
        <v>8.6999999999999993</v>
      </c>
    </row>
    <row r="361" spans="1:20" x14ac:dyDescent="0.3">
      <c r="A361">
        <v>595</v>
      </c>
      <c r="C361">
        <v>86</v>
      </c>
      <c r="D361">
        <v>2894</v>
      </c>
      <c r="E361" t="s">
        <v>26</v>
      </c>
      <c r="F361" t="s">
        <v>27</v>
      </c>
      <c r="G361" t="s">
        <v>22</v>
      </c>
      <c r="H361" t="s">
        <v>38</v>
      </c>
      <c r="I361" t="s">
        <v>37</v>
      </c>
      <c r="J361">
        <v>96.98</v>
      </c>
      <c r="K361">
        <v>4</v>
      </c>
      <c r="L361">
        <v>19.396000000000001</v>
      </c>
      <c r="M361">
        <v>407.31599999999997</v>
      </c>
      <c r="N361" s="1">
        <v>43502</v>
      </c>
      <c r="O361" s="2">
        <v>0.72222222222222221</v>
      </c>
      <c r="P361" t="s">
        <v>25</v>
      </c>
      <c r="Q361">
        <v>387.92</v>
      </c>
      <c r="R361">
        <v>4.7619047620000003</v>
      </c>
      <c r="S361">
        <v>19.396000000000001</v>
      </c>
      <c r="T361">
        <v>9.4</v>
      </c>
    </row>
    <row r="362" spans="1:20" x14ac:dyDescent="0.3">
      <c r="A362">
        <v>182</v>
      </c>
      <c r="C362">
        <v>69</v>
      </c>
      <c r="D362">
        <v>8360</v>
      </c>
      <c r="E362" t="s">
        <v>34</v>
      </c>
      <c r="F362" t="s">
        <v>35</v>
      </c>
      <c r="G362" t="s">
        <v>28</v>
      </c>
      <c r="H362" t="s">
        <v>23</v>
      </c>
      <c r="I362" t="s">
        <v>29</v>
      </c>
      <c r="J362">
        <v>23.65</v>
      </c>
      <c r="K362">
        <v>4</v>
      </c>
      <c r="L362">
        <v>4.7300000000000004</v>
      </c>
      <c r="M362">
        <v>99.33</v>
      </c>
      <c r="N362" s="1">
        <v>43495</v>
      </c>
      <c r="O362" s="2">
        <v>0.56388888888888888</v>
      </c>
      <c r="P362" t="s">
        <v>32</v>
      </c>
      <c r="Q362">
        <v>94.6</v>
      </c>
      <c r="R362">
        <v>4.7619047620000003</v>
      </c>
      <c r="S362">
        <v>4.7300000000000004</v>
      </c>
      <c r="T362">
        <v>4</v>
      </c>
    </row>
    <row r="363" spans="1:20" x14ac:dyDescent="0.3">
      <c r="A363">
        <v>289</v>
      </c>
      <c r="C363">
        <v>15</v>
      </c>
      <c r="D363">
        <v>7034</v>
      </c>
      <c r="E363" t="s">
        <v>20</v>
      </c>
      <c r="F363" t="s">
        <v>21</v>
      </c>
      <c r="G363" t="s">
        <v>22</v>
      </c>
      <c r="H363" t="s">
        <v>38</v>
      </c>
      <c r="I363" t="s">
        <v>33</v>
      </c>
      <c r="J363">
        <v>82.33</v>
      </c>
      <c r="K363">
        <v>4</v>
      </c>
      <c r="L363">
        <v>16.466000000000001</v>
      </c>
      <c r="M363">
        <v>345.786</v>
      </c>
      <c r="N363" s="1">
        <v>43476</v>
      </c>
      <c r="O363" s="2">
        <v>0.44236111111111109</v>
      </c>
      <c r="P363" t="s">
        <v>32</v>
      </c>
      <c r="Q363">
        <v>329.32</v>
      </c>
      <c r="R363">
        <v>4.7619047620000003</v>
      </c>
      <c r="S363">
        <v>16.466000000000001</v>
      </c>
      <c r="T363">
        <v>7.5</v>
      </c>
    </row>
    <row r="364" spans="1:20" x14ac:dyDescent="0.3">
      <c r="A364">
        <v>462</v>
      </c>
      <c r="C364">
        <v>78</v>
      </c>
      <c r="D364">
        <v>5240</v>
      </c>
      <c r="E364" t="s">
        <v>26</v>
      </c>
      <c r="F364" t="s">
        <v>27</v>
      </c>
      <c r="G364" t="s">
        <v>28</v>
      </c>
      <c r="H364" t="s">
        <v>23</v>
      </c>
      <c r="I364" t="s">
        <v>29</v>
      </c>
      <c r="J364">
        <v>26.61</v>
      </c>
      <c r="K364">
        <v>2</v>
      </c>
      <c r="L364">
        <v>2.661</v>
      </c>
      <c r="M364">
        <v>55.881</v>
      </c>
      <c r="N364" s="1">
        <v>43543</v>
      </c>
      <c r="O364" s="2">
        <v>0.60763888888888884</v>
      </c>
      <c r="P364" t="s">
        <v>30</v>
      </c>
      <c r="Q364">
        <v>53.22</v>
      </c>
      <c r="R364">
        <v>4.7619047620000003</v>
      </c>
      <c r="S364">
        <v>2.661</v>
      </c>
      <c r="T364">
        <v>4.2</v>
      </c>
    </row>
    <row r="365" spans="1:20" x14ac:dyDescent="0.3">
      <c r="A365">
        <v>153</v>
      </c>
      <c r="C365">
        <v>58</v>
      </c>
      <c r="D365">
        <v>4872</v>
      </c>
      <c r="E365" t="s">
        <v>26</v>
      </c>
      <c r="F365" t="s">
        <v>27</v>
      </c>
      <c r="G365" t="s">
        <v>22</v>
      </c>
      <c r="H365" t="s">
        <v>23</v>
      </c>
      <c r="I365" t="s">
        <v>36</v>
      </c>
      <c r="J365">
        <v>74.89</v>
      </c>
      <c r="K365">
        <v>4</v>
      </c>
      <c r="L365">
        <v>14.978</v>
      </c>
      <c r="M365">
        <v>314.53800000000001</v>
      </c>
      <c r="N365" s="1">
        <v>43525</v>
      </c>
      <c r="O365" s="2">
        <v>0.64722222222222225</v>
      </c>
      <c r="P365" t="s">
        <v>25</v>
      </c>
      <c r="Q365">
        <v>299.56</v>
      </c>
      <c r="R365">
        <v>4.7619047620000003</v>
      </c>
      <c r="S365">
        <v>14.978</v>
      </c>
      <c r="T365">
        <v>4.2</v>
      </c>
    </row>
    <row r="366" spans="1:20" x14ac:dyDescent="0.3">
      <c r="A366">
        <v>662</v>
      </c>
      <c r="C366">
        <v>72</v>
      </c>
      <c r="D366">
        <v>2873</v>
      </c>
      <c r="E366" t="s">
        <v>20</v>
      </c>
      <c r="F366" t="s">
        <v>21</v>
      </c>
      <c r="G366" t="s">
        <v>28</v>
      </c>
      <c r="H366" t="s">
        <v>23</v>
      </c>
      <c r="I366" t="s">
        <v>36</v>
      </c>
      <c r="J366">
        <v>40.94</v>
      </c>
      <c r="K366">
        <v>5</v>
      </c>
      <c r="L366">
        <v>10.234999999999999</v>
      </c>
      <c r="M366">
        <v>214.935</v>
      </c>
      <c r="N366" s="1">
        <v>43471</v>
      </c>
      <c r="O366" s="2">
        <v>0.58194444444444449</v>
      </c>
      <c r="P366" t="s">
        <v>25</v>
      </c>
      <c r="Q366">
        <v>204.7</v>
      </c>
      <c r="R366">
        <v>4.7619047620000003</v>
      </c>
      <c r="S366">
        <v>10.234999999999999</v>
      </c>
      <c r="T366">
        <v>9.9</v>
      </c>
    </row>
    <row r="367" spans="1:20" x14ac:dyDescent="0.3">
      <c r="A367">
        <v>525</v>
      </c>
      <c r="C367">
        <v>88</v>
      </c>
      <c r="D367">
        <v>7307</v>
      </c>
      <c r="E367" t="s">
        <v>34</v>
      </c>
      <c r="F367" t="s">
        <v>35</v>
      </c>
      <c r="G367" t="s">
        <v>22</v>
      </c>
      <c r="H367" t="s">
        <v>38</v>
      </c>
      <c r="I367" t="s">
        <v>33</v>
      </c>
      <c r="J367">
        <v>75.819999999999993</v>
      </c>
      <c r="K367">
        <v>1</v>
      </c>
      <c r="L367">
        <v>3.7909999999999999</v>
      </c>
      <c r="M367">
        <v>79.611000000000004</v>
      </c>
      <c r="N367" s="1">
        <v>43496</v>
      </c>
      <c r="O367" s="2">
        <v>0.55486111111111114</v>
      </c>
      <c r="P367" t="s">
        <v>30</v>
      </c>
      <c r="Q367">
        <v>75.819999999999993</v>
      </c>
      <c r="R367">
        <v>4.7619047620000003</v>
      </c>
      <c r="S367">
        <v>3.7909999999999999</v>
      </c>
      <c r="T367">
        <v>5.8</v>
      </c>
    </row>
    <row r="368" spans="1:20" x14ac:dyDescent="0.3">
      <c r="A368">
        <v>689</v>
      </c>
      <c r="C368">
        <v>16</v>
      </c>
      <c r="D368">
        <v>9784</v>
      </c>
      <c r="E368" t="s">
        <v>26</v>
      </c>
      <c r="F368" t="s">
        <v>27</v>
      </c>
      <c r="G368" t="s">
        <v>28</v>
      </c>
      <c r="H368" t="s">
        <v>38</v>
      </c>
      <c r="I368" t="s">
        <v>36</v>
      </c>
      <c r="J368">
        <v>46.77</v>
      </c>
      <c r="K368">
        <v>6</v>
      </c>
      <c r="L368">
        <v>14.031000000000001</v>
      </c>
      <c r="M368">
        <v>294.65100000000001</v>
      </c>
      <c r="N368" s="1">
        <v>43535</v>
      </c>
      <c r="O368" s="2">
        <v>0.56736111111111109</v>
      </c>
      <c r="P368" t="s">
        <v>30</v>
      </c>
      <c r="Q368">
        <v>280.62</v>
      </c>
      <c r="R368">
        <v>4.7619047620000003</v>
      </c>
      <c r="S368">
        <v>14.031000000000001</v>
      </c>
      <c r="T368">
        <v>6</v>
      </c>
    </row>
    <row r="369" spans="1:20" x14ac:dyDescent="0.3">
      <c r="A369">
        <v>725</v>
      </c>
      <c r="C369">
        <v>56</v>
      </c>
      <c r="D369">
        <v>833</v>
      </c>
      <c r="E369" t="s">
        <v>20</v>
      </c>
      <c r="F369" t="s">
        <v>21</v>
      </c>
      <c r="G369" t="s">
        <v>28</v>
      </c>
      <c r="H369" t="s">
        <v>23</v>
      </c>
      <c r="I369" t="s">
        <v>24</v>
      </c>
      <c r="J369">
        <v>32.32</v>
      </c>
      <c r="K369">
        <v>10</v>
      </c>
      <c r="L369">
        <v>16.16</v>
      </c>
      <c r="M369">
        <v>339.36</v>
      </c>
      <c r="N369" s="1">
        <v>43516</v>
      </c>
      <c r="O369" s="2">
        <v>0.7006944444444444</v>
      </c>
      <c r="P369" t="s">
        <v>32</v>
      </c>
      <c r="Q369">
        <v>323.2</v>
      </c>
      <c r="R369">
        <v>4.7619047620000003</v>
      </c>
      <c r="S369">
        <v>16.16</v>
      </c>
      <c r="T369">
        <v>10</v>
      </c>
    </row>
    <row r="370" spans="1:20" x14ac:dyDescent="0.3">
      <c r="A370">
        <v>394</v>
      </c>
      <c r="C370">
        <v>41</v>
      </c>
      <c r="D370">
        <v>748</v>
      </c>
      <c r="E370" t="s">
        <v>26</v>
      </c>
      <c r="F370" t="s">
        <v>27</v>
      </c>
      <c r="G370" t="s">
        <v>22</v>
      </c>
      <c r="H370" t="s">
        <v>23</v>
      </c>
      <c r="I370" t="s">
        <v>37</v>
      </c>
      <c r="J370">
        <v>54.07</v>
      </c>
      <c r="K370">
        <v>9</v>
      </c>
      <c r="L370">
        <v>24.331499999999998</v>
      </c>
      <c r="M370">
        <v>510.9615</v>
      </c>
      <c r="N370" s="1">
        <v>43492</v>
      </c>
      <c r="O370" s="2">
        <v>0.62152777777777779</v>
      </c>
      <c r="P370" t="s">
        <v>25</v>
      </c>
      <c r="Q370">
        <v>486.63</v>
      </c>
      <c r="R370">
        <v>4.7619047620000003</v>
      </c>
      <c r="S370">
        <v>24.331499999999998</v>
      </c>
      <c r="T370">
        <v>9.5</v>
      </c>
    </row>
    <row r="371" spans="1:20" x14ac:dyDescent="0.3">
      <c r="A371">
        <v>596</v>
      </c>
      <c r="C371">
        <v>42</v>
      </c>
      <c r="D371">
        <v>3999</v>
      </c>
      <c r="E371" t="s">
        <v>34</v>
      </c>
      <c r="F371" t="s">
        <v>35</v>
      </c>
      <c r="G371" t="s">
        <v>28</v>
      </c>
      <c r="H371" t="s">
        <v>38</v>
      </c>
      <c r="I371" t="s">
        <v>36</v>
      </c>
      <c r="J371">
        <v>18.22</v>
      </c>
      <c r="K371">
        <v>7</v>
      </c>
      <c r="L371">
        <v>6.3769999999999998</v>
      </c>
      <c r="M371">
        <v>133.917</v>
      </c>
      <c r="N371" s="1">
        <v>43534</v>
      </c>
      <c r="O371" s="2">
        <v>0.58611111111111114</v>
      </c>
      <c r="P371" t="s">
        <v>32</v>
      </c>
      <c r="Q371">
        <v>127.54</v>
      </c>
      <c r="R371">
        <v>4.7619047620000003</v>
      </c>
      <c r="S371">
        <v>6.3769999999999998</v>
      </c>
      <c r="T371">
        <v>6.6</v>
      </c>
    </row>
    <row r="372" spans="1:20" x14ac:dyDescent="0.3">
      <c r="A372">
        <v>541</v>
      </c>
      <c r="C372">
        <v>89</v>
      </c>
      <c r="D372">
        <v>9860</v>
      </c>
      <c r="E372" t="s">
        <v>26</v>
      </c>
      <c r="F372" t="s">
        <v>27</v>
      </c>
      <c r="G372" t="s">
        <v>22</v>
      </c>
      <c r="H372" t="s">
        <v>23</v>
      </c>
      <c r="I372" t="s">
        <v>37</v>
      </c>
      <c r="J372">
        <v>80.48</v>
      </c>
      <c r="K372">
        <v>3</v>
      </c>
      <c r="L372">
        <v>12.071999999999999</v>
      </c>
      <c r="M372">
        <v>253.512</v>
      </c>
      <c r="N372" s="1">
        <v>43511</v>
      </c>
      <c r="O372" s="2">
        <v>0.52152777777777781</v>
      </c>
      <c r="P372" t="s">
        <v>30</v>
      </c>
      <c r="Q372">
        <v>241.44</v>
      </c>
      <c r="R372">
        <v>4.7619047620000003</v>
      </c>
      <c r="S372">
        <v>12.071999999999999</v>
      </c>
      <c r="T372">
        <v>8.1</v>
      </c>
    </row>
    <row r="373" spans="1:20" x14ac:dyDescent="0.3">
      <c r="A373">
        <v>173</v>
      </c>
      <c r="C373">
        <v>82</v>
      </c>
      <c r="D373">
        <v>9529</v>
      </c>
      <c r="E373" t="s">
        <v>34</v>
      </c>
      <c r="F373" t="s">
        <v>35</v>
      </c>
      <c r="G373" t="s">
        <v>28</v>
      </c>
      <c r="H373" t="s">
        <v>23</v>
      </c>
      <c r="I373" t="s">
        <v>37</v>
      </c>
      <c r="J373">
        <v>37.950000000000003</v>
      </c>
      <c r="K373">
        <v>10</v>
      </c>
      <c r="L373">
        <v>18.975000000000001</v>
      </c>
      <c r="M373">
        <v>398.47500000000002</v>
      </c>
      <c r="N373" s="1">
        <v>43491</v>
      </c>
      <c r="O373" s="2">
        <v>0.61875000000000002</v>
      </c>
      <c r="P373" t="s">
        <v>30</v>
      </c>
      <c r="Q373">
        <v>379.5</v>
      </c>
      <c r="R373">
        <v>4.7619047620000003</v>
      </c>
      <c r="S373">
        <v>18.975000000000001</v>
      </c>
      <c r="T373">
        <v>9.6999999999999993</v>
      </c>
    </row>
    <row r="374" spans="1:20" x14ac:dyDescent="0.3">
      <c r="A374">
        <v>563</v>
      </c>
      <c r="C374">
        <v>36</v>
      </c>
      <c r="D374">
        <v>9814</v>
      </c>
      <c r="E374" t="s">
        <v>20</v>
      </c>
      <c r="F374" t="s">
        <v>21</v>
      </c>
      <c r="G374" t="s">
        <v>22</v>
      </c>
      <c r="H374" t="s">
        <v>38</v>
      </c>
      <c r="I374" t="s">
        <v>29</v>
      </c>
      <c r="J374">
        <v>76.819999999999993</v>
      </c>
      <c r="K374">
        <v>1</v>
      </c>
      <c r="L374">
        <v>3.8410000000000002</v>
      </c>
      <c r="M374">
        <v>80.661000000000001</v>
      </c>
      <c r="N374" s="1">
        <v>43509</v>
      </c>
      <c r="O374" s="2">
        <v>0.76875000000000004</v>
      </c>
      <c r="P374" t="s">
        <v>25</v>
      </c>
      <c r="Q374">
        <v>76.819999999999993</v>
      </c>
      <c r="R374">
        <v>4.7619047620000003</v>
      </c>
      <c r="S374">
        <v>3.8410000000000002</v>
      </c>
      <c r="T374">
        <v>7.2</v>
      </c>
    </row>
    <row r="375" spans="1:20" x14ac:dyDescent="0.3">
      <c r="A375">
        <v>308</v>
      </c>
      <c r="C375">
        <v>47</v>
      </c>
      <c r="D375">
        <v>4913</v>
      </c>
      <c r="E375" t="s">
        <v>20</v>
      </c>
      <c r="F375" t="s">
        <v>21</v>
      </c>
      <c r="G375" t="s">
        <v>22</v>
      </c>
      <c r="H375" t="s">
        <v>23</v>
      </c>
      <c r="I375" t="s">
        <v>33</v>
      </c>
      <c r="J375">
        <v>52.26</v>
      </c>
      <c r="K375">
        <v>10</v>
      </c>
      <c r="L375">
        <v>26.13</v>
      </c>
      <c r="M375">
        <v>548.73</v>
      </c>
      <c r="N375" s="1">
        <v>43533</v>
      </c>
      <c r="O375" s="2">
        <v>0.53125</v>
      </c>
      <c r="P375" t="s">
        <v>32</v>
      </c>
      <c r="Q375">
        <v>522.6</v>
      </c>
      <c r="R375">
        <v>4.7619047620000003</v>
      </c>
      <c r="S375">
        <v>26.13</v>
      </c>
      <c r="T375">
        <v>6.2</v>
      </c>
    </row>
    <row r="376" spans="1:20" x14ac:dyDescent="0.3">
      <c r="A376">
        <v>885</v>
      </c>
      <c r="C376">
        <v>17</v>
      </c>
      <c r="D376">
        <v>6250</v>
      </c>
      <c r="E376" t="s">
        <v>20</v>
      </c>
      <c r="F376" t="s">
        <v>21</v>
      </c>
      <c r="G376" t="s">
        <v>28</v>
      </c>
      <c r="H376" t="s">
        <v>23</v>
      </c>
      <c r="I376" t="s">
        <v>24</v>
      </c>
      <c r="J376">
        <v>79.739999999999995</v>
      </c>
      <c r="K376">
        <v>1</v>
      </c>
      <c r="L376">
        <v>3.9870000000000001</v>
      </c>
      <c r="M376">
        <v>83.727000000000004</v>
      </c>
      <c r="N376" s="1">
        <v>43530</v>
      </c>
      <c r="O376" s="2">
        <v>0.44166666666666665</v>
      </c>
      <c r="P376" t="s">
        <v>25</v>
      </c>
      <c r="Q376">
        <v>79.739999999999995</v>
      </c>
      <c r="R376">
        <v>4.7619047620000003</v>
      </c>
      <c r="S376">
        <v>3.9870000000000001</v>
      </c>
      <c r="T376">
        <v>7.3</v>
      </c>
    </row>
    <row r="377" spans="1:20" x14ac:dyDescent="0.3">
      <c r="A377">
        <v>726</v>
      </c>
      <c r="C377">
        <v>27</v>
      </c>
      <c r="D377">
        <v>2396</v>
      </c>
      <c r="E377" t="s">
        <v>20</v>
      </c>
      <c r="F377" t="s">
        <v>21</v>
      </c>
      <c r="G377" t="s">
        <v>28</v>
      </c>
      <c r="H377" t="s">
        <v>23</v>
      </c>
      <c r="I377" t="s">
        <v>24</v>
      </c>
      <c r="J377">
        <v>77.5</v>
      </c>
      <c r="K377">
        <v>5</v>
      </c>
      <c r="L377">
        <v>19.375</v>
      </c>
      <c r="M377">
        <v>406.875</v>
      </c>
      <c r="N377" s="1">
        <v>43489</v>
      </c>
      <c r="O377" s="2">
        <v>0.85833333333333328</v>
      </c>
      <c r="P377" t="s">
        <v>25</v>
      </c>
      <c r="Q377">
        <v>387.5</v>
      </c>
      <c r="R377">
        <v>4.7619047620000003</v>
      </c>
      <c r="S377">
        <v>19.375</v>
      </c>
      <c r="T377">
        <v>4.3</v>
      </c>
    </row>
    <row r="378" spans="1:20" x14ac:dyDescent="0.3">
      <c r="A378">
        <v>316</v>
      </c>
      <c r="C378">
        <v>1</v>
      </c>
      <c r="D378">
        <v>3952</v>
      </c>
      <c r="E378" t="s">
        <v>20</v>
      </c>
      <c r="F378" t="s">
        <v>21</v>
      </c>
      <c r="G378" t="s">
        <v>28</v>
      </c>
      <c r="H378" t="s">
        <v>23</v>
      </c>
      <c r="I378" t="s">
        <v>36</v>
      </c>
      <c r="J378">
        <v>54.27</v>
      </c>
      <c r="K378">
        <v>5</v>
      </c>
      <c r="L378">
        <v>13.567500000000001</v>
      </c>
      <c r="M378">
        <v>284.91750000000002</v>
      </c>
      <c r="N378" s="1">
        <v>43537</v>
      </c>
      <c r="O378" s="2">
        <v>0.59444444444444444</v>
      </c>
      <c r="P378" t="s">
        <v>25</v>
      </c>
      <c r="Q378">
        <v>271.35000000000002</v>
      </c>
      <c r="R378">
        <v>4.7619047620000003</v>
      </c>
      <c r="S378">
        <v>13.567500000000001</v>
      </c>
      <c r="T378">
        <v>4.5999999999999996</v>
      </c>
    </row>
    <row r="379" spans="1:20" x14ac:dyDescent="0.3">
      <c r="A379">
        <v>760</v>
      </c>
      <c r="C379">
        <v>54</v>
      </c>
      <c r="D379">
        <v>1821</v>
      </c>
      <c r="E379" t="s">
        <v>34</v>
      </c>
      <c r="F379" t="s">
        <v>35</v>
      </c>
      <c r="G379" t="s">
        <v>28</v>
      </c>
      <c r="H379" t="s">
        <v>38</v>
      </c>
      <c r="I379" t="s">
        <v>31</v>
      </c>
      <c r="J379">
        <v>13.59</v>
      </c>
      <c r="K379">
        <v>9</v>
      </c>
      <c r="L379">
        <v>6.1154999999999999</v>
      </c>
      <c r="M379">
        <v>128.4255</v>
      </c>
      <c r="N379" s="1">
        <v>43539</v>
      </c>
      <c r="O379" s="2">
        <v>0.43472222222222223</v>
      </c>
      <c r="P379" t="s">
        <v>30</v>
      </c>
      <c r="Q379">
        <v>122.31</v>
      </c>
      <c r="R379">
        <v>4.7619047620000003</v>
      </c>
      <c r="S379">
        <v>6.1154999999999999</v>
      </c>
      <c r="T379">
        <v>5.8</v>
      </c>
    </row>
    <row r="380" spans="1:20" x14ac:dyDescent="0.3">
      <c r="A380">
        <v>793</v>
      </c>
      <c r="C380">
        <v>10</v>
      </c>
      <c r="D380">
        <v>3222</v>
      </c>
      <c r="E380" t="s">
        <v>34</v>
      </c>
      <c r="F380" t="s">
        <v>35</v>
      </c>
      <c r="G380" t="s">
        <v>22</v>
      </c>
      <c r="H380" t="s">
        <v>23</v>
      </c>
      <c r="I380" t="s">
        <v>24</v>
      </c>
      <c r="J380">
        <v>41.06</v>
      </c>
      <c r="K380">
        <v>6</v>
      </c>
      <c r="L380">
        <v>12.318</v>
      </c>
      <c r="M380">
        <v>258.678</v>
      </c>
      <c r="N380" s="1">
        <v>43529</v>
      </c>
      <c r="O380" s="2">
        <v>0.5625</v>
      </c>
      <c r="P380" t="s">
        <v>32</v>
      </c>
      <c r="Q380">
        <v>246.36</v>
      </c>
      <c r="R380">
        <v>4.7619047620000003</v>
      </c>
      <c r="S380">
        <v>12.318</v>
      </c>
      <c r="T380">
        <v>8.3000000000000007</v>
      </c>
    </row>
    <row r="381" spans="1:20" x14ac:dyDescent="0.3">
      <c r="A381">
        <v>346</v>
      </c>
      <c r="C381">
        <v>12</v>
      </c>
      <c r="D381">
        <v>3257</v>
      </c>
      <c r="E381" t="s">
        <v>34</v>
      </c>
      <c r="F381" t="s">
        <v>35</v>
      </c>
      <c r="G381" t="s">
        <v>22</v>
      </c>
      <c r="H381" t="s">
        <v>38</v>
      </c>
      <c r="I381" t="s">
        <v>29</v>
      </c>
      <c r="J381">
        <v>19.239999999999998</v>
      </c>
      <c r="K381">
        <v>9</v>
      </c>
      <c r="L381">
        <v>8.6579999999999995</v>
      </c>
      <c r="M381">
        <v>181.81800000000001</v>
      </c>
      <c r="N381" s="1">
        <v>43528</v>
      </c>
      <c r="O381" s="2">
        <v>0.68611111111111112</v>
      </c>
      <c r="P381" t="s">
        <v>30</v>
      </c>
      <c r="Q381">
        <v>173.16</v>
      </c>
      <c r="R381">
        <v>4.7619047620000003</v>
      </c>
      <c r="S381">
        <v>8.6579999999999995</v>
      </c>
      <c r="T381">
        <v>8</v>
      </c>
    </row>
    <row r="382" spans="1:20" x14ac:dyDescent="0.3">
      <c r="A382">
        <v>110</v>
      </c>
      <c r="C382">
        <v>5</v>
      </c>
      <c r="D382">
        <v>6330</v>
      </c>
      <c r="E382" t="s">
        <v>26</v>
      </c>
      <c r="F382" t="s">
        <v>27</v>
      </c>
      <c r="G382" t="s">
        <v>28</v>
      </c>
      <c r="H382" t="s">
        <v>23</v>
      </c>
      <c r="I382" t="s">
        <v>36</v>
      </c>
      <c r="J382">
        <v>39.43</v>
      </c>
      <c r="K382">
        <v>6</v>
      </c>
      <c r="L382">
        <v>11.829000000000001</v>
      </c>
      <c r="M382">
        <v>248.40899999999999</v>
      </c>
      <c r="N382" s="1">
        <v>43549</v>
      </c>
      <c r="O382" s="2">
        <v>0.84583333333333333</v>
      </c>
      <c r="P382" t="s">
        <v>32</v>
      </c>
      <c r="Q382">
        <v>236.58</v>
      </c>
      <c r="R382">
        <v>4.7619047620000003</v>
      </c>
      <c r="S382">
        <v>11.829000000000001</v>
      </c>
      <c r="T382">
        <v>9.4</v>
      </c>
    </row>
    <row r="383" spans="1:20" x14ac:dyDescent="0.3">
      <c r="A383">
        <v>651</v>
      </c>
      <c r="C383">
        <v>61</v>
      </c>
      <c r="D383">
        <v>874</v>
      </c>
      <c r="E383" t="s">
        <v>26</v>
      </c>
      <c r="F383" t="s">
        <v>27</v>
      </c>
      <c r="G383" t="s">
        <v>28</v>
      </c>
      <c r="H383" t="s">
        <v>38</v>
      </c>
      <c r="I383" t="s">
        <v>31</v>
      </c>
      <c r="J383">
        <v>46.22</v>
      </c>
      <c r="K383">
        <v>4</v>
      </c>
      <c r="L383">
        <v>9.2439999999999998</v>
      </c>
      <c r="M383">
        <v>194.124</v>
      </c>
      <c r="N383" s="1">
        <v>43536</v>
      </c>
      <c r="O383" s="2">
        <v>0.83611111111111114</v>
      </c>
      <c r="P383" t="s">
        <v>32</v>
      </c>
      <c r="Q383">
        <v>184.88</v>
      </c>
      <c r="R383">
        <v>4.7619047620000003</v>
      </c>
      <c r="S383">
        <v>9.2439999999999998</v>
      </c>
      <c r="T383">
        <v>6.2</v>
      </c>
    </row>
    <row r="384" spans="1:20" x14ac:dyDescent="0.3">
      <c r="A384">
        <v>831</v>
      </c>
      <c r="C384">
        <v>64</v>
      </c>
      <c r="D384">
        <v>259</v>
      </c>
      <c r="E384" t="s">
        <v>34</v>
      </c>
      <c r="F384" t="s">
        <v>35</v>
      </c>
      <c r="G384" t="s">
        <v>28</v>
      </c>
      <c r="H384" t="s">
        <v>23</v>
      </c>
      <c r="I384" t="s">
        <v>37</v>
      </c>
      <c r="J384">
        <v>39.75</v>
      </c>
      <c r="K384">
        <v>5</v>
      </c>
      <c r="L384">
        <v>9.9375</v>
      </c>
      <c r="M384">
        <v>208.6875</v>
      </c>
      <c r="N384" s="1">
        <v>43518</v>
      </c>
      <c r="O384" s="2">
        <v>0.4465277777777778</v>
      </c>
      <c r="P384" t="s">
        <v>25</v>
      </c>
      <c r="Q384">
        <v>198.75</v>
      </c>
      <c r="R384">
        <v>4.7619047620000003</v>
      </c>
      <c r="S384">
        <v>9.9375</v>
      </c>
      <c r="T384">
        <v>9.6</v>
      </c>
    </row>
    <row r="385" spans="1:20" x14ac:dyDescent="0.3">
      <c r="A385">
        <v>587</v>
      </c>
      <c r="C385">
        <v>3</v>
      </c>
      <c r="D385">
        <v>7455</v>
      </c>
      <c r="E385" t="s">
        <v>26</v>
      </c>
      <c r="F385" t="s">
        <v>27</v>
      </c>
      <c r="G385" t="s">
        <v>22</v>
      </c>
      <c r="H385" t="s">
        <v>23</v>
      </c>
      <c r="I385" t="s">
        <v>37</v>
      </c>
      <c r="J385">
        <v>97.79</v>
      </c>
      <c r="K385">
        <v>7</v>
      </c>
      <c r="L385">
        <v>34.226500000000001</v>
      </c>
      <c r="M385">
        <v>718.75649999999996</v>
      </c>
      <c r="N385" s="1">
        <v>43512</v>
      </c>
      <c r="O385" s="2">
        <v>0.72916666666666663</v>
      </c>
      <c r="P385" t="s">
        <v>25</v>
      </c>
      <c r="Q385">
        <v>684.53</v>
      </c>
      <c r="R385">
        <v>4.7619047620000003</v>
      </c>
      <c r="S385">
        <v>34.226500000000001</v>
      </c>
      <c r="T385">
        <v>4.9000000000000004</v>
      </c>
    </row>
    <row r="386" spans="1:20" x14ac:dyDescent="0.3">
      <c r="A386">
        <v>882</v>
      </c>
      <c r="C386">
        <v>40</v>
      </c>
      <c r="D386">
        <v>4577</v>
      </c>
      <c r="E386" t="s">
        <v>20</v>
      </c>
      <c r="F386" t="s">
        <v>21</v>
      </c>
      <c r="G386" t="s">
        <v>22</v>
      </c>
      <c r="H386" t="s">
        <v>38</v>
      </c>
      <c r="I386" t="s">
        <v>33</v>
      </c>
      <c r="J386">
        <v>67.260000000000005</v>
      </c>
      <c r="K386">
        <v>4</v>
      </c>
      <c r="L386">
        <v>13.452</v>
      </c>
      <c r="M386">
        <v>282.49200000000002</v>
      </c>
      <c r="N386" s="1">
        <v>43484</v>
      </c>
      <c r="O386" s="2">
        <v>0.64444444444444449</v>
      </c>
      <c r="P386" t="s">
        <v>32</v>
      </c>
      <c r="Q386">
        <v>269.04000000000002</v>
      </c>
      <c r="R386">
        <v>4.7619047620000003</v>
      </c>
      <c r="S386">
        <v>13.452</v>
      </c>
      <c r="T386">
        <v>8</v>
      </c>
    </row>
    <row r="387" spans="1:20" x14ac:dyDescent="0.3">
      <c r="A387">
        <v>732</v>
      </c>
      <c r="C387">
        <v>67</v>
      </c>
      <c r="D387">
        <v>5346</v>
      </c>
      <c r="E387" t="s">
        <v>20</v>
      </c>
      <c r="F387" t="s">
        <v>21</v>
      </c>
      <c r="G387" t="s">
        <v>28</v>
      </c>
      <c r="H387" t="s">
        <v>38</v>
      </c>
      <c r="I387" t="s">
        <v>36</v>
      </c>
      <c r="J387">
        <v>13.79</v>
      </c>
      <c r="K387">
        <v>5</v>
      </c>
      <c r="L387">
        <v>3.4474999999999998</v>
      </c>
      <c r="M387">
        <v>72.397499999999994</v>
      </c>
      <c r="N387" s="1">
        <v>43476</v>
      </c>
      <c r="O387" s="2">
        <v>0.79652777777777772</v>
      </c>
      <c r="P387" t="s">
        <v>32</v>
      </c>
      <c r="Q387">
        <v>68.95</v>
      </c>
      <c r="R387">
        <v>4.7619047620000003</v>
      </c>
      <c r="S387">
        <v>3.4474999999999998</v>
      </c>
      <c r="T387">
        <v>7.8</v>
      </c>
    </row>
    <row r="388" spans="1:20" x14ac:dyDescent="0.3">
      <c r="A388">
        <v>725</v>
      </c>
      <c r="C388">
        <v>32</v>
      </c>
      <c r="D388">
        <v>9708</v>
      </c>
      <c r="E388" t="s">
        <v>34</v>
      </c>
      <c r="F388" t="s">
        <v>35</v>
      </c>
      <c r="G388" t="s">
        <v>22</v>
      </c>
      <c r="H388" t="s">
        <v>23</v>
      </c>
      <c r="I388" t="s">
        <v>37</v>
      </c>
      <c r="J388">
        <v>68.709999999999994</v>
      </c>
      <c r="K388">
        <v>4</v>
      </c>
      <c r="L388">
        <v>13.742000000000001</v>
      </c>
      <c r="M388">
        <v>288.58199999999999</v>
      </c>
      <c r="N388" s="1">
        <v>43469</v>
      </c>
      <c r="O388" s="2">
        <v>0.79236111111111107</v>
      </c>
      <c r="P388" t="s">
        <v>30</v>
      </c>
      <c r="Q388">
        <v>274.83999999999997</v>
      </c>
      <c r="R388">
        <v>4.7619047620000003</v>
      </c>
      <c r="S388">
        <v>13.742000000000001</v>
      </c>
      <c r="T388">
        <v>4.0999999999999996</v>
      </c>
    </row>
    <row r="389" spans="1:20" x14ac:dyDescent="0.3">
      <c r="A389">
        <v>256</v>
      </c>
      <c r="C389">
        <v>8</v>
      </c>
      <c r="D389">
        <v>8343</v>
      </c>
      <c r="E389" t="s">
        <v>20</v>
      </c>
      <c r="F389" t="s">
        <v>21</v>
      </c>
      <c r="G389" t="s">
        <v>28</v>
      </c>
      <c r="H389" t="s">
        <v>23</v>
      </c>
      <c r="I389" t="s">
        <v>31</v>
      </c>
      <c r="J389">
        <v>56.53</v>
      </c>
      <c r="K389">
        <v>4</v>
      </c>
      <c r="L389">
        <v>11.305999999999999</v>
      </c>
      <c r="M389">
        <v>237.42599999999999</v>
      </c>
      <c r="N389" s="1">
        <v>43528</v>
      </c>
      <c r="O389" s="2">
        <v>0.82499999999999996</v>
      </c>
      <c r="P389" t="s">
        <v>25</v>
      </c>
      <c r="Q389">
        <v>226.12</v>
      </c>
      <c r="R389">
        <v>4.7619047620000003</v>
      </c>
      <c r="S389">
        <v>11.305999999999999</v>
      </c>
      <c r="T389">
        <v>5.5</v>
      </c>
    </row>
    <row r="390" spans="1:20" x14ac:dyDescent="0.3">
      <c r="A390">
        <v>372</v>
      </c>
      <c r="C390">
        <v>26</v>
      </c>
      <c r="D390">
        <v>1506</v>
      </c>
      <c r="E390" t="s">
        <v>26</v>
      </c>
      <c r="F390" t="s">
        <v>27</v>
      </c>
      <c r="G390" t="s">
        <v>28</v>
      </c>
      <c r="H390" t="s">
        <v>23</v>
      </c>
      <c r="I390" t="s">
        <v>37</v>
      </c>
      <c r="J390">
        <v>23.82</v>
      </c>
      <c r="K390">
        <v>5</v>
      </c>
      <c r="L390">
        <v>5.9550000000000001</v>
      </c>
      <c r="M390">
        <v>125.05500000000001</v>
      </c>
      <c r="N390" s="1">
        <v>43493</v>
      </c>
      <c r="O390" s="2">
        <v>0.80833333333333335</v>
      </c>
      <c r="P390" t="s">
        <v>25</v>
      </c>
      <c r="Q390">
        <v>119.1</v>
      </c>
      <c r="R390">
        <v>4.7619047620000003</v>
      </c>
      <c r="S390">
        <v>5.9550000000000001</v>
      </c>
      <c r="T390">
        <v>5.4</v>
      </c>
    </row>
    <row r="391" spans="1:20" x14ac:dyDescent="0.3">
      <c r="A391">
        <v>244</v>
      </c>
      <c r="C391">
        <v>8</v>
      </c>
      <c r="D391">
        <v>162</v>
      </c>
      <c r="E391" t="s">
        <v>34</v>
      </c>
      <c r="F391" t="s">
        <v>35</v>
      </c>
      <c r="G391" t="s">
        <v>28</v>
      </c>
      <c r="H391" t="s">
        <v>23</v>
      </c>
      <c r="I391" t="s">
        <v>24</v>
      </c>
      <c r="J391">
        <v>34.21</v>
      </c>
      <c r="K391">
        <v>10</v>
      </c>
      <c r="L391">
        <v>17.105</v>
      </c>
      <c r="M391">
        <v>359.20499999999998</v>
      </c>
      <c r="N391" s="1">
        <v>43467</v>
      </c>
      <c r="O391" s="2">
        <v>0.54166666666666663</v>
      </c>
      <c r="P391" t="s">
        <v>30</v>
      </c>
      <c r="Q391">
        <v>342.1</v>
      </c>
      <c r="R391">
        <v>4.7619047620000003</v>
      </c>
      <c r="S391">
        <v>17.105</v>
      </c>
      <c r="T391">
        <v>5.0999999999999996</v>
      </c>
    </row>
    <row r="392" spans="1:20" x14ac:dyDescent="0.3">
      <c r="A392">
        <v>569</v>
      </c>
      <c r="C392">
        <v>71</v>
      </c>
      <c r="D392">
        <v>4390</v>
      </c>
      <c r="E392" t="s">
        <v>34</v>
      </c>
      <c r="F392" t="s">
        <v>35</v>
      </c>
      <c r="G392" t="s">
        <v>28</v>
      </c>
      <c r="H392" t="s">
        <v>38</v>
      </c>
      <c r="I392" t="s">
        <v>33</v>
      </c>
      <c r="J392">
        <v>21.87</v>
      </c>
      <c r="K392">
        <v>2</v>
      </c>
      <c r="L392">
        <v>2.1869999999999998</v>
      </c>
      <c r="M392">
        <v>45.927</v>
      </c>
      <c r="N392" s="1">
        <v>43490</v>
      </c>
      <c r="O392" s="2">
        <v>0.60347222222222219</v>
      </c>
      <c r="P392" t="s">
        <v>25</v>
      </c>
      <c r="Q392">
        <v>43.74</v>
      </c>
      <c r="R392">
        <v>4.7619047620000003</v>
      </c>
      <c r="S392">
        <v>2.1869999999999998</v>
      </c>
      <c r="T392">
        <v>6.9</v>
      </c>
    </row>
    <row r="393" spans="1:20" x14ac:dyDescent="0.3">
      <c r="A393">
        <v>132</v>
      </c>
      <c r="C393">
        <v>23</v>
      </c>
      <c r="D393">
        <v>6451</v>
      </c>
      <c r="E393" t="s">
        <v>20</v>
      </c>
      <c r="F393" t="s">
        <v>21</v>
      </c>
      <c r="G393" t="s">
        <v>22</v>
      </c>
      <c r="H393" t="s">
        <v>38</v>
      </c>
      <c r="I393" t="s">
        <v>24</v>
      </c>
      <c r="J393">
        <v>20.97</v>
      </c>
      <c r="K393">
        <v>5</v>
      </c>
      <c r="L393">
        <v>5.2424999999999997</v>
      </c>
      <c r="M393">
        <v>110.0925</v>
      </c>
      <c r="N393" s="1">
        <v>43469</v>
      </c>
      <c r="O393" s="2">
        <v>0.55625000000000002</v>
      </c>
      <c r="P393" t="s">
        <v>30</v>
      </c>
      <c r="Q393">
        <v>104.85</v>
      </c>
      <c r="R393">
        <v>4.7619047620000003</v>
      </c>
      <c r="S393">
        <v>5.2424999999999997</v>
      </c>
      <c r="T393">
        <v>7.8</v>
      </c>
    </row>
    <row r="394" spans="1:20" x14ac:dyDescent="0.3">
      <c r="A394">
        <v>696</v>
      </c>
      <c r="C394">
        <v>90</v>
      </c>
      <c r="D394">
        <v>2548</v>
      </c>
      <c r="E394" t="s">
        <v>20</v>
      </c>
      <c r="F394" t="s">
        <v>21</v>
      </c>
      <c r="G394" t="s">
        <v>28</v>
      </c>
      <c r="H394" t="s">
        <v>38</v>
      </c>
      <c r="I394" t="s">
        <v>33</v>
      </c>
      <c r="J394">
        <v>25.84</v>
      </c>
      <c r="K394">
        <v>3</v>
      </c>
      <c r="L394">
        <v>3.8759999999999999</v>
      </c>
      <c r="M394">
        <v>81.396000000000001</v>
      </c>
      <c r="N394" s="1">
        <v>43534</v>
      </c>
      <c r="O394" s="2">
        <v>0.78819444444444442</v>
      </c>
      <c r="P394" t="s">
        <v>25</v>
      </c>
      <c r="Q394">
        <v>77.52</v>
      </c>
      <c r="R394">
        <v>4.7619047620000003</v>
      </c>
      <c r="S394">
        <v>3.8759999999999999</v>
      </c>
      <c r="T394">
        <v>6.6</v>
      </c>
    </row>
    <row r="395" spans="1:20" x14ac:dyDescent="0.3">
      <c r="A395">
        <v>472</v>
      </c>
      <c r="C395">
        <v>15</v>
      </c>
      <c r="D395">
        <v>9636</v>
      </c>
      <c r="E395" t="s">
        <v>20</v>
      </c>
      <c r="F395" t="s">
        <v>21</v>
      </c>
      <c r="G395" t="s">
        <v>28</v>
      </c>
      <c r="H395" t="s">
        <v>38</v>
      </c>
      <c r="I395" t="s">
        <v>31</v>
      </c>
      <c r="J395">
        <v>50.93</v>
      </c>
      <c r="K395">
        <v>8</v>
      </c>
      <c r="L395">
        <v>20.372</v>
      </c>
      <c r="M395">
        <v>427.81200000000001</v>
      </c>
      <c r="N395" s="1">
        <v>43546</v>
      </c>
      <c r="O395" s="2">
        <v>0.81666666666666665</v>
      </c>
      <c r="P395" t="s">
        <v>25</v>
      </c>
      <c r="Q395">
        <v>407.44</v>
      </c>
      <c r="R395">
        <v>4.7619047620000003</v>
      </c>
      <c r="S395">
        <v>20.372</v>
      </c>
      <c r="T395">
        <v>9.1999999999999993</v>
      </c>
    </row>
    <row r="396" spans="1:20" x14ac:dyDescent="0.3">
      <c r="A396">
        <v>268</v>
      </c>
      <c r="C396">
        <v>3</v>
      </c>
      <c r="D396">
        <v>6164</v>
      </c>
      <c r="E396" t="s">
        <v>34</v>
      </c>
      <c r="F396" t="s">
        <v>35</v>
      </c>
      <c r="G396" t="s">
        <v>28</v>
      </c>
      <c r="H396" t="s">
        <v>38</v>
      </c>
      <c r="I396" t="s">
        <v>24</v>
      </c>
      <c r="J396">
        <v>96.11</v>
      </c>
      <c r="K396">
        <v>1</v>
      </c>
      <c r="L396">
        <v>4.8055000000000003</v>
      </c>
      <c r="M396">
        <v>100.91549999999999</v>
      </c>
      <c r="N396" s="1">
        <v>43490</v>
      </c>
      <c r="O396" s="2">
        <v>0.68611111111111112</v>
      </c>
      <c r="P396" t="s">
        <v>25</v>
      </c>
      <c r="Q396">
        <v>96.11</v>
      </c>
      <c r="R396">
        <v>4.7619047620000003</v>
      </c>
      <c r="S396">
        <v>4.8055000000000003</v>
      </c>
      <c r="T396">
        <v>7.8</v>
      </c>
    </row>
    <row r="397" spans="1:20" x14ac:dyDescent="0.3">
      <c r="A397">
        <v>750</v>
      </c>
      <c r="C397">
        <v>57</v>
      </c>
      <c r="D397">
        <v>9686</v>
      </c>
      <c r="E397" t="s">
        <v>26</v>
      </c>
      <c r="F397" t="s">
        <v>27</v>
      </c>
      <c r="G397" t="s">
        <v>28</v>
      </c>
      <c r="H397" t="s">
        <v>23</v>
      </c>
      <c r="I397" t="s">
        <v>31</v>
      </c>
      <c r="J397">
        <v>45.38</v>
      </c>
      <c r="K397">
        <v>4</v>
      </c>
      <c r="L397">
        <v>9.0760000000000005</v>
      </c>
      <c r="M397">
        <v>190.596</v>
      </c>
      <c r="N397" s="1">
        <v>43473</v>
      </c>
      <c r="O397" s="2">
        <v>0.57499999999999996</v>
      </c>
      <c r="P397" t="s">
        <v>32</v>
      </c>
      <c r="Q397">
        <v>181.52</v>
      </c>
      <c r="R397">
        <v>4.7619047620000003</v>
      </c>
      <c r="S397">
        <v>9.0760000000000005</v>
      </c>
      <c r="T397">
        <v>8.6999999999999993</v>
      </c>
    </row>
    <row r="398" spans="1:20" x14ac:dyDescent="0.3">
      <c r="A398">
        <v>186</v>
      </c>
      <c r="C398">
        <v>9</v>
      </c>
      <c r="D398">
        <v>3669</v>
      </c>
      <c r="E398" t="s">
        <v>26</v>
      </c>
      <c r="F398" t="s">
        <v>27</v>
      </c>
      <c r="G398" t="s">
        <v>22</v>
      </c>
      <c r="H398" t="s">
        <v>23</v>
      </c>
      <c r="I398" t="s">
        <v>24</v>
      </c>
      <c r="J398">
        <v>81.510000000000005</v>
      </c>
      <c r="K398">
        <v>1</v>
      </c>
      <c r="L398">
        <v>4.0754999999999999</v>
      </c>
      <c r="M398">
        <v>85.585499999999996</v>
      </c>
      <c r="N398" s="1">
        <v>43487</v>
      </c>
      <c r="O398" s="2">
        <v>0.45624999999999999</v>
      </c>
      <c r="P398" t="s">
        <v>25</v>
      </c>
      <c r="Q398">
        <v>81.510000000000005</v>
      </c>
      <c r="R398">
        <v>4.7619047620000003</v>
      </c>
      <c r="S398">
        <v>4.0754999999999999</v>
      </c>
      <c r="T398">
        <v>9.1999999999999993</v>
      </c>
    </row>
    <row r="399" spans="1:20" x14ac:dyDescent="0.3">
      <c r="A399">
        <v>848</v>
      </c>
      <c r="C399">
        <v>7</v>
      </c>
      <c r="D399">
        <v>1692</v>
      </c>
      <c r="E399" t="s">
        <v>34</v>
      </c>
      <c r="F399" t="s">
        <v>35</v>
      </c>
      <c r="G399" t="s">
        <v>28</v>
      </c>
      <c r="H399" t="s">
        <v>23</v>
      </c>
      <c r="I399" t="s">
        <v>24</v>
      </c>
      <c r="J399">
        <v>57.22</v>
      </c>
      <c r="K399">
        <v>2</v>
      </c>
      <c r="L399">
        <v>5.7220000000000004</v>
      </c>
      <c r="M399">
        <v>120.16200000000001</v>
      </c>
      <c r="N399" s="1">
        <v>43477</v>
      </c>
      <c r="O399" s="2">
        <v>0.71736111111111112</v>
      </c>
      <c r="P399" t="s">
        <v>25</v>
      </c>
      <c r="Q399">
        <v>114.44</v>
      </c>
      <c r="R399">
        <v>4.7619047620000003</v>
      </c>
      <c r="S399">
        <v>5.7220000000000004</v>
      </c>
      <c r="T399">
        <v>8.3000000000000007</v>
      </c>
    </row>
    <row r="400" spans="1:20" x14ac:dyDescent="0.3">
      <c r="A400">
        <v>745</v>
      </c>
      <c r="C400">
        <v>71</v>
      </c>
      <c r="D400">
        <v>3520</v>
      </c>
      <c r="E400" t="s">
        <v>20</v>
      </c>
      <c r="F400" t="s">
        <v>21</v>
      </c>
      <c r="G400" t="s">
        <v>22</v>
      </c>
      <c r="H400" t="s">
        <v>23</v>
      </c>
      <c r="I400" t="s">
        <v>29</v>
      </c>
      <c r="J400">
        <v>25.22</v>
      </c>
      <c r="K400">
        <v>7</v>
      </c>
      <c r="L400">
        <v>8.827</v>
      </c>
      <c r="M400">
        <v>185.36699999999999</v>
      </c>
      <c r="N400" s="1">
        <v>43500</v>
      </c>
      <c r="O400" s="2">
        <v>0.43263888888888891</v>
      </c>
      <c r="P400" t="s">
        <v>30</v>
      </c>
      <c r="Q400">
        <v>176.54</v>
      </c>
      <c r="R400">
        <v>4.7619047620000003</v>
      </c>
      <c r="S400">
        <v>8.827</v>
      </c>
      <c r="T400">
        <v>8.1999999999999993</v>
      </c>
    </row>
    <row r="401" spans="1:20" x14ac:dyDescent="0.3">
      <c r="A401">
        <v>266</v>
      </c>
      <c r="C401">
        <v>76</v>
      </c>
      <c r="D401">
        <v>6436</v>
      </c>
      <c r="E401" t="s">
        <v>26</v>
      </c>
      <c r="F401" t="s">
        <v>27</v>
      </c>
      <c r="G401" t="s">
        <v>22</v>
      </c>
      <c r="H401" t="s">
        <v>23</v>
      </c>
      <c r="I401" t="s">
        <v>36</v>
      </c>
      <c r="J401">
        <v>38.6</v>
      </c>
      <c r="K401">
        <v>3</v>
      </c>
      <c r="L401">
        <v>5.79</v>
      </c>
      <c r="M401">
        <v>121.59</v>
      </c>
      <c r="N401" s="1">
        <v>43552</v>
      </c>
      <c r="O401" s="2">
        <v>0.58125000000000004</v>
      </c>
      <c r="P401" t="s">
        <v>25</v>
      </c>
      <c r="Q401">
        <v>115.8</v>
      </c>
      <c r="R401">
        <v>4.7619047620000003</v>
      </c>
      <c r="S401">
        <v>5.79</v>
      </c>
      <c r="T401">
        <v>7.5</v>
      </c>
    </row>
    <row r="402" spans="1:20" x14ac:dyDescent="0.3">
      <c r="A402">
        <v>740</v>
      </c>
      <c r="C402">
        <v>22</v>
      </c>
      <c r="D402">
        <v>2500</v>
      </c>
      <c r="E402" t="s">
        <v>26</v>
      </c>
      <c r="F402" t="s">
        <v>27</v>
      </c>
      <c r="G402" t="s">
        <v>28</v>
      </c>
      <c r="H402" t="s">
        <v>23</v>
      </c>
      <c r="I402" t="s">
        <v>29</v>
      </c>
      <c r="J402">
        <v>84.05</v>
      </c>
      <c r="K402">
        <v>3</v>
      </c>
      <c r="L402">
        <v>12.6075</v>
      </c>
      <c r="M402">
        <v>264.75749999999999</v>
      </c>
      <c r="N402" s="1">
        <v>43488</v>
      </c>
      <c r="O402" s="2">
        <v>0.56180555555555556</v>
      </c>
      <c r="P402" t="s">
        <v>30</v>
      </c>
      <c r="Q402">
        <v>252.15</v>
      </c>
      <c r="R402">
        <v>4.7619047620000003</v>
      </c>
      <c r="S402">
        <v>12.6075</v>
      </c>
      <c r="T402">
        <v>9.8000000000000007</v>
      </c>
    </row>
    <row r="403" spans="1:20" x14ac:dyDescent="0.3">
      <c r="A403">
        <v>271</v>
      </c>
      <c r="C403">
        <v>88</v>
      </c>
      <c r="D403">
        <v>8734</v>
      </c>
      <c r="E403" t="s">
        <v>26</v>
      </c>
      <c r="F403" t="s">
        <v>27</v>
      </c>
      <c r="G403" t="s">
        <v>22</v>
      </c>
      <c r="H403" t="s">
        <v>23</v>
      </c>
      <c r="I403" t="s">
        <v>37</v>
      </c>
      <c r="J403">
        <v>97.21</v>
      </c>
      <c r="K403">
        <v>10</v>
      </c>
      <c r="L403">
        <v>48.604999999999997</v>
      </c>
      <c r="M403">
        <v>1020.705</v>
      </c>
      <c r="N403" s="1">
        <v>43504</v>
      </c>
      <c r="O403" s="2">
        <v>0.54166666666666663</v>
      </c>
      <c r="P403" t="s">
        <v>32</v>
      </c>
      <c r="Q403">
        <v>972.1</v>
      </c>
      <c r="R403">
        <v>4.7619047620000003</v>
      </c>
      <c r="S403">
        <v>48.604999999999997</v>
      </c>
      <c r="T403">
        <v>8.6999999999999993</v>
      </c>
    </row>
    <row r="404" spans="1:20" x14ac:dyDescent="0.3">
      <c r="A404">
        <v>301</v>
      </c>
      <c r="C404">
        <v>81</v>
      </c>
      <c r="D404">
        <v>8610</v>
      </c>
      <c r="E404" t="s">
        <v>34</v>
      </c>
      <c r="F404" t="s">
        <v>35</v>
      </c>
      <c r="G404" t="s">
        <v>22</v>
      </c>
      <c r="H404" t="s">
        <v>38</v>
      </c>
      <c r="I404" t="s">
        <v>37</v>
      </c>
      <c r="J404">
        <v>25.42</v>
      </c>
      <c r="K404">
        <v>8</v>
      </c>
      <c r="L404">
        <v>10.167999999999999</v>
      </c>
      <c r="M404">
        <v>213.52799999999999</v>
      </c>
      <c r="N404" s="1">
        <v>43543</v>
      </c>
      <c r="O404" s="2">
        <v>0.8208333333333333</v>
      </c>
      <c r="P404" t="s">
        <v>32</v>
      </c>
      <c r="Q404">
        <v>203.36</v>
      </c>
      <c r="R404">
        <v>4.7619047620000003</v>
      </c>
      <c r="S404">
        <v>10.167999999999999</v>
      </c>
      <c r="T404">
        <v>6.7</v>
      </c>
    </row>
    <row r="405" spans="1:20" x14ac:dyDescent="0.3">
      <c r="A405">
        <v>489</v>
      </c>
      <c r="C405">
        <v>64</v>
      </c>
      <c r="D405">
        <v>4354</v>
      </c>
      <c r="E405" t="s">
        <v>26</v>
      </c>
      <c r="F405" t="s">
        <v>27</v>
      </c>
      <c r="G405" t="s">
        <v>28</v>
      </c>
      <c r="H405" t="s">
        <v>38</v>
      </c>
      <c r="I405" t="s">
        <v>37</v>
      </c>
      <c r="J405">
        <v>16.28</v>
      </c>
      <c r="K405">
        <v>1</v>
      </c>
      <c r="L405">
        <v>0.81399999999999995</v>
      </c>
      <c r="M405">
        <v>17.094000000000001</v>
      </c>
      <c r="N405" s="1">
        <v>43533</v>
      </c>
      <c r="O405" s="2">
        <v>0.65</v>
      </c>
      <c r="P405" t="s">
        <v>30</v>
      </c>
      <c r="Q405">
        <v>16.28</v>
      </c>
      <c r="R405">
        <v>4.7619047620000003</v>
      </c>
      <c r="S405">
        <v>0.81399999999999995</v>
      </c>
      <c r="T405">
        <v>5</v>
      </c>
    </row>
    <row r="406" spans="1:20" x14ac:dyDescent="0.3">
      <c r="A406">
        <v>269</v>
      </c>
      <c r="C406">
        <v>10</v>
      </c>
      <c r="D406">
        <v>8440</v>
      </c>
      <c r="E406" t="s">
        <v>20</v>
      </c>
      <c r="F406" t="s">
        <v>21</v>
      </c>
      <c r="G406" t="s">
        <v>22</v>
      </c>
      <c r="H406" t="s">
        <v>38</v>
      </c>
      <c r="I406" t="s">
        <v>24</v>
      </c>
      <c r="J406">
        <v>53.17</v>
      </c>
      <c r="K406">
        <v>7</v>
      </c>
      <c r="L406">
        <v>18.609500000000001</v>
      </c>
      <c r="M406">
        <v>390.79950000000002</v>
      </c>
      <c r="N406" s="1">
        <v>43486</v>
      </c>
      <c r="O406" s="2">
        <v>0.75069444444444444</v>
      </c>
      <c r="P406" t="s">
        <v>30</v>
      </c>
      <c r="Q406">
        <v>372.19</v>
      </c>
      <c r="R406">
        <v>4.7619047620000003</v>
      </c>
      <c r="S406">
        <v>18.609500000000001</v>
      </c>
      <c r="T406">
        <v>8.9</v>
      </c>
    </row>
    <row r="407" spans="1:20" x14ac:dyDescent="0.3">
      <c r="A407">
        <v>650</v>
      </c>
      <c r="C407">
        <v>98</v>
      </c>
      <c r="D407">
        <v>6268</v>
      </c>
      <c r="E407" t="s">
        <v>34</v>
      </c>
      <c r="F407" t="s">
        <v>35</v>
      </c>
      <c r="G407" t="s">
        <v>22</v>
      </c>
      <c r="H407" t="s">
        <v>23</v>
      </c>
      <c r="I407" t="s">
        <v>36</v>
      </c>
      <c r="J407">
        <v>20.87</v>
      </c>
      <c r="K407">
        <v>3</v>
      </c>
      <c r="L407">
        <v>3.1305000000000001</v>
      </c>
      <c r="M407">
        <v>65.740499999999997</v>
      </c>
      <c r="N407" s="1">
        <v>43544</v>
      </c>
      <c r="O407" s="2">
        <v>0.57847222222222228</v>
      </c>
      <c r="P407" t="s">
        <v>32</v>
      </c>
      <c r="Q407">
        <v>62.61</v>
      </c>
      <c r="R407">
        <v>4.7619047620000003</v>
      </c>
      <c r="S407">
        <v>3.1305000000000001</v>
      </c>
      <c r="T407">
        <v>8</v>
      </c>
    </row>
    <row r="408" spans="1:20" x14ac:dyDescent="0.3">
      <c r="A408">
        <v>741</v>
      </c>
      <c r="C408">
        <v>73</v>
      </c>
      <c r="D408">
        <v>3559</v>
      </c>
      <c r="E408" t="s">
        <v>34</v>
      </c>
      <c r="F408" t="s">
        <v>35</v>
      </c>
      <c r="G408" t="s">
        <v>28</v>
      </c>
      <c r="H408" t="s">
        <v>38</v>
      </c>
      <c r="I408" t="s">
        <v>33</v>
      </c>
      <c r="J408">
        <v>67.27</v>
      </c>
      <c r="K408">
        <v>5</v>
      </c>
      <c r="L408">
        <v>16.817499999999999</v>
      </c>
      <c r="M408">
        <v>353.16750000000002</v>
      </c>
      <c r="N408" s="1">
        <v>43523</v>
      </c>
      <c r="O408" s="2">
        <v>0.7270833333333333</v>
      </c>
      <c r="P408" t="s">
        <v>30</v>
      </c>
      <c r="Q408">
        <v>336.35</v>
      </c>
      <c r="R408">
        <v>4.7619047620000003</v>
      </c>
      <c r="S408">
        <v>16.817499999999999</v>
      </c>
      <c r="T408">
        <v>6.9</v>
      </c>
    </row>
    <row r="409" spans="1:20" x14ac:dyDescent="0.3">
      <c r="A409">
        <v>325</v>
      </c>
      <c r="C409">
        <v>77</v>
      </c>
      <c r="D409">
        <v>6186</v>
      </c>
      <c r="E409" t="s">
        <v>20</v>
      </c>
      <c r="F409" t="s">
        <v>21</v>
      </c>
      <c r="G409" t="s">
        <v>22</v>
      </c>
      <c r="H409" t="s">
        <v>23</v>
      </c>
      <c r="I409" t="s">
        <v>31</v>
      </c>
      <c r="J409">
        <v>90.65</v>
      </c>
      <c r="K409">
        <v>10</v>
      </c>
      <c r="L409">
        <v>45.325000000000003</v>
      </c>
      <c r="M409">
        <v>951.82500000000005</v>
      </c>
      <c r="N409" s="1">
        <v>43532</v>
      </c>
      <c r="O409" s="2">
        <v>0.45347222222222222</v>
      </c>
      <c r="P409" t="s">
        <v>25</v>
      </c>
      <c r="Q409">
        <v>906.5</v>
      </c>
      <c r="R409">
        <v>4.7619047620000003</v>
      </c>
      <c r="S409">
        <v>45.325000000000003</v>
      </c>
      <c r="T409">
        <v>7.3</v>
      </c>
    </row>
    <row r="410" spans="1:20" x14ac:dyDescent="0.3">
      <c r="A410">
        <v>286</v>
      </c>
      <c r="C410">
        <v>75</v>
      </c>
      <c r="D410">
        <v>7818</v>
      </c>
      <c r="E410" t="s">
        <v>34</v>
      </c>
      <c r="F410" t="s">
        <v>35</v>
      </c>
      <c r="G410" t="s">
        <v>28</v>
      </c>
      <c r="H410" t="s">
        <v>38</v>
      </c>
      <c r="I410" t="s">
        <v>37</v>
      </c>
      <c r="J410">
        <v>69.08</v>
      </c>
      <c r="K410">
        <v>2</v>
      </c>
      <c r="L410">
        <v>6.9080000000000004</v>
      </c>
      <c r="M410">
        <v>145.06800000000001</v>
      </c>
      <c r="N410" s="1">
        <v>43496</v>
      </c>
      <c r="O410" s="2">
        <v>0.82499999999999996</v>
      </c>
      <c r="P410" t="s">
        <v>32</v>
      </c>
      <c r="Q410">
        <v>138.16</v>
      </c>
      <c r="R410">
        <v>4.7619047620000003</v>
      </c>
      <c r="S410">
        <v>6.9080000000000004</v>
      </c>
      <c r="T410">
        <v>6.9</v>
      </c>
    </row>
    <row r="411" spans="1:20" x14ac:dyDescent="0.3">
      <c r="A411">
        <v>574</v>
      </c>
      <c r="C411">
        <v>57</v>
      </c>
      <c r="D411">
        <v>9721</v>
      </c>
      <c r="E411" t="s">
        <v>26</v>
      </c>
      <c r="F411" t="s">
        <v>27</v>
      </c>
      <c r="G411" t="s">
        <v>28</v>
      </c>
      <c r="H411" t="s">
        <v>38</v>
      </c>
      <c r="I411" t="s">
        <v>36</v>
      </c>
      <c r="J411">
        <v>43.27</v>
      </c>
      <c r="K411">
        <v>2</v>
      </c>
      <c r="L411">
        <v>4.327</v>
      </c>
      <c r="M411">
        <v>90.867000000000004</v>
      </c>
      <c r="N411" s="1">
        <v>43532</v>
      </c>
      <c r="O411" s="2">
        <v>0.70347222222222228</v>
      </c>
      <c r="P411" t="s">
        <v>25</v>
      </c>
      <c r="Q411">
        <v>86.54</v>
      </c>
      <c r="R411">
        <v>4.7619047620000003</v>
      </c>
      <c r="S411">
        <v>4.327</v>
      </c>
      <c r="T411">
        <v>5.7</v>
      </c>
    </row>
    <row r="412" spans="1:20" x14ac:dyDescent="0.3">
      <c r="A412">
        <v>459</v>
      </c>
      <c r="C412">
        <v>50</v>
      </c>
      <c r="D412">
        <v>7686</v>
      </c>
      <c r="E412" t="s">
        <v>20</v>
      </c>
      <c r="F412" t="s">
        <v>21</v>
      </c>
      <c r="G412" t="s">
        <v>28</v>
      </c>
      <c r="H412" t="s">
        <v>23</v>
      </c>
      <c r="I412" t="s">
        <v>29</v>
      </c>
      <c r="J412">
        <v>23.46</v>
      </c>
      <c r="K412">
        <v>6</v>
      </c>
      <c r="L412">
        <v>7.0380000000000003</v>
      </c>
      <c r="M412">
        <v>147.798</v>
      </c>
      <c r="N412" s="1">
        <v>43478</v>
      </c>
      <c r="O412" s="2">
        <v>0.80138888888888893</v>
      </c>
      <c r="P412" t="s">
        <v>25</v>
      </c>
      <c r="Q412">
        <v>140.76</v>
      </c>
      <c r="R412">
        <v>4.7619047620000003</v>
      </c>
      <c r="S412">
        <v>7.0380000000000003</v>
      </c>
      <c r="T412">
        <v>6.4</v>
      </c>
    </row>
    <row r="413" spans="1:20" x14ac:dyDescent="0.3">
      <c r="A413">
        <v>616</v>
      </c>
      <c r="C413">
        <v>87</v>
      </c>
      <c r="D413">
        <v>16</v>
      </c>
      <c r="E413" t="s">
        <v>34</v>
      </c>
      <c r="F413" t="s">
        <v>35</v>
      </c>
      <c r="G413" t="s">
        <v>28</v>
      </c>
      <c r="H413" t="s">
        <v>38</v>
      </c>
      <c r="I413" t="s">
        <v>37</v>
      </c>
      <c r="J413">
        <v>95.54</v>
      </c>
      <c r="K413">
        <v>7</v>
      </c>
      <c r="L413">
        <v>33.439</v>
      </c>
      <c r="M413">
        <v>702.21900000000005</v>
      </c>
      <c r="N413" s="1">
        <v>43533</v>
      </c>
      <c r="O413" s="2">
        <v>0.60833333333333328</v>
      </c>
      <c r="P413" t="s">
        <v>32</v>
      </c>
      <c r="Q413">
        <v>668.78</v>
      </c>
      <c r="R413">
        <v>4.7619047620000003</v>
      </c>
      <c r="S413">
        <v>33.439</v>
      </c>
      <c r="T413">
        <v>9.6</v>
      </c>
    </row>
    <row r="414" spans="1:20" x14ac:dyDescent="0.3">
      <c r="A414">
        <v>837</v>
      </c>
      <c r="C414">
        <v>55</v>
      </c>
      <c r="D414">
        <v>7229</v>
      </c>
      <c r="E414" t="s">
        <v>34</v>
      </c>
      <c r="F414" t="s">
        <v>35</v>
      </c>
      <c r="G414" t="s">
        <v>28</v>
      </c>
      <c r="H414" t="s">
        <v>23</v>
      </c>
      <c r="I414" t="s">
        <v>37</v>
      </c>
      <c r="J414">
        <v>47.44</v>
      </c>
      <c r="K414">
        <v>1</v>
      </c>
      <c r="L414">
        <v>2.3719999999999999</v>
      </c>
      <c r="M414">
        <v>49.811999999999998</v>
      </c>
      <c r="N414" s="1">
        <v>43518</v>
      </c>
      <c r="O414" s="2">
        <v>0.7631944444444444</v>
      </c>
      <c r="P414" t="s">
        <v>32</v>
      </c>
      <c r="Q414">
        <v>47.44</v>
      </c>
      <c r="R414">
        <v>4.7619047620000003</v>
      </c>
      <c r="S414">
        <v>2.3719999999999999</v>
      </c>
      <c r="T414">
        <v>6.8</v>
      </c>
    </row>
    <row r="415" spans="1:20" x14ac:dyDescent="0.3">
      <c r="A415">
        <v>751</v>
      </c>
      <c r="C415">
        <v>69</v>
      </c>
      <c r="D415">
        <v>68</v>
      </c>
      <c r="E415" t="s">
        <v>26</v>
      </c>
      <c r="F415" t="s">
        <v>27</v>
      </c>
      <c r="G415" t="s">
        <v>28</v>
      </c>
      <c r="H415" t="s">
        <v>38</v>
      </c>
      <c r="I415" t="s">
        <v>33</v>
      </c>
      <c r="J415">
        <v>99.24</v>
      </c>
      <c r="K415">
        <v>9</v>
      </c>
      <c r="L415">
        <v>44.658000000000001</v>
      </c>
      <c r="M415">
        <v>937.81799999999998</v>
      </c>
      <c r="N415" s="1">
        <v>43543</v>
      </c>
      <c r="O415" s="2">
        <v>0.79791666666666672</v>
      </c>
      <c r="P415" t="s">
        <v>25</v>
      </c>
      <c r="Q415">
        <v>893.16</v>
      </c>
      <c r="R415">
        <v>4.7619047620000003</v>
      </c>
      <c r="S415">
        <v>44.658000000000001</v>
      </c>
      <c r="T415">
        <v>9</v>
      </c>
    </row>
    <row r="416" spans="1:20" x14ac:dyDescent="0.3">
      <c r="A416">
        <v>257</v>
      </c>
      <c r="C416">
        <v>73</v>
      </c>
      <c r="D416">
        <v>1380</v>
      </c>
      <c r="E416" t="s">
        <v>26</v>
      </c>
      <c r="F416" t="s">
        <v>27</v>
      </c>
      <c r="G416" t="s">
        <v>22</v>
      </c>
      <c r="H416" t="s">
        <v>38</v>
      </c>
      <c r="I416" t="s">
        <v>33</v>
      </c>
      <c r="J416">
        <v>82.93</v>
      </c>
      <c r="K416">
        <v>4</v>
      </c>
      <c r="L416">
        <v>16.585999999999999</v>
      </c>
      <c r="M416">
        <v>348.30599999999998</v>
      </c>
      <c r="N416" s="1">
        <v>43485</v>
      </c>
      <c r="O416" s="2">
        <v>0.70208333333333328</v>
      </c>
      <c r="P416" t="s">
        <v>25</v>
      </c>
      <c r="Q416">
        <v>331.72</v>
      </c>
      <c r="R416">
        <v>4.7619047620000003</v>
      </c>
      <c r="S416">
        <v>16.585999999999999</v>
      </c>
      <c r="T416">
        <v>9.6</v>
      </c>
    </row>
    <row r="417" spans="1:20" x14ac:dyDescent="0.3">
      <c r="A417">
        <v>345</v>
      </c>
      <c r="C417">
        <v>8</v>
      </c>
      <c r="D417">
        <v>4992</v>
      </c>
      <c r="E417" t="s">
        <v>20</v>
      </c>
      <c r="F417" t="s">
        <v>21</v>
      </c>
      <c r="G417" t="s">
        <v>28</v>
      </c>
      <c r="H417" t="s">
        <v>38</v>
      </c>
      <c r="I417" t="s">
        <v>31</v>
      </c>
      <c r="J417">
        <v>33.99</v>
      </c>
      <c r="K417">
        <v>6</v>
      </c>
      <c r="L417">
        <v>10.196999999999999</v>
      </c>
      <c r="M417">
        <v>214.137</v>
      </c>
      <c r="N417" s="1">
        <v>43532</v>
      </c>
      <c r="O417" s="2">
        <v>0.65069444444444446</v>
      </c>
      <c r="P417" t="s">
        <v>32</v>
      </c>
      <c r="Q417">
        <v>203.94</v>
      </c>
      <c r="R417">
        <v>4.7619047620000003</v>
      </c>
      <c r="S417">
        <v>10.196999999999999</v>
      </c>
      <c r="T417">
        <v>7.7</v>
      </c>
    </row>
    <row r="418" spans="1:20" x14ac:dyDescent="0.3">
      <c r="A418">
        <v>549</v>
      </c>
      <c r="C418">
        <v>96</v>
      </c>
      <c r="D418">
        <v>4200</v>
      </c>
      <c r="E418" t="s">
        <v>26</v>
      </c>
      <c r="F418" t="s">
        <v>27</v>
      </c>
      <c r="G418" t="s">
        <v>22</v>
      </c>
      <c r="H418" t="s">
        <v>38</v>
      </c>
      <c r="I418" t="s">
        <v>36</v>
      </c>
      <c r="J418">
        <v>17.04</v>
      </c>
      <c r="K418">
        <v>4</v>
      </c>
      <c r="L418">
        <v>3.4079999999999999</v>
      </c>
      <c r="M418">
        <v>71.567999999999998</v>
      </c>
      <c r="N418" s="1">
        <v>43532</v>
      </c>
      <c r="O418" s="2">
        <v>0.84375</v>
      </c>
      <c r="P418" t="s">
        <v>25</v>
      </c>
      <c r="Q418">
        <v>68.16</v>
      </c>
      <c r="R418">
        <v>4.7619047620000003</v>
      </c>
      <c r="S418">
        <v>3.4079999999999999</v>
      </c>
      <c r="T418">
        <v>7</v>
      </c>
    </row>
    <row r="419" spans="1:20" x14ac:dyDescent="0.3">
      <c r="A419">
        <v>810</v>
      </c>
      <c r="C419">
        <v>60</v>
      </c>
      <c r="D419">
        <v>6344</v>
      </c>
      <c r="E419" t="s">
        <v>26</v>
      </c>
      <c r="F419" t="s">
        <v>27</v>
      </c>
      <c r="G419" t="s">
        <v>28</v>
      </c>
      <c r="H419" t="s">
        <v>23</v>
      </c>
      <c r="I419" t="s">
        <v>29</v>
      </c>
      <c r="J419">
        <v>40.86</v>
      </c>
      <c r="K419">
        <v>8</v>
      </c>
      <c r="L419">
        <v>16.344000000000001</v>
      </c>
      <c r="M419">
        <v>343.22399999999999</v>
      </c>
      <c r="N419" s="1">
        <v>43503</v>
      </c>
      <c r="O419" s="2">
        <v>0.60972222222222228</v>
      </c>
      <c r="P419" t="s">
        <v>32</v>
      </c>
      <c r="Q419">
        <v>326.88</v>
      </c>
      <c r="R419">
        <v>4.7619047620000003</v>
      </c>
      <c r="S419">
        <v>16.344000000000001</v>
      </c>
      <c r="T419">
        <v>6.5</v>
      </c>
    </row>
    <row r="420" spans="1:20" x14ac:dyDescent="0.3">
      <c r="A420">
        <v>450</v>
      </c>
      <c r="C420">
        <v>28</v>
      </c>
      <c r="D420">
        <v>2866</v>
      </c>
      <c r="E420" t="s">
        <v>26</v>
      </c>
      <c r="F420" t="s">
        <v>27</v>
      </c>
      <c r="G420" t="s">
        <v>22</v>
      </c>
      <c r="H420" t="s">
        <v>38</v>
      </c>
      <c r="I420" t="s">
        <v>36</v>
      </c>
      <c r="J420">
        <v>17.440000000000001</v>
      </c>
      <c r="K420">
        <v>5</v>
      </c>
      <c r="L420">
        <v>4.3600000000000003</v>
      </c>
      <c r="M420">
        <v>91.56</v>
      </c>
      <c r="N420" s="1">
        <v>43480</v>
      </c>
      <c r="O420" s="2">
        <v>0.80902777777777779</v>
      </c>
      <c r="P420" t="s">
        <v>30</v>
      </c>
      <c r="Q420">
        <v>87.2</v>
      </c>
      <c r="R420">
        <v>4.7619047620000003</v>
      </c>
      <c r="S420">
        <v>4.3600000000000003</v>
      </c>
      <c r="T420">
        <v>8.1</v>
      </c>
    </row>
    <row r="421" spans="1:20" x14ac:dyDescent="0.3">
      <c r="A421">
        <v>394</v>
      </c>
      <c r="C421">
        <v>30</v>
      </c>
      <c r="D421">
        <v>3170</v>
      </c>
      <c r="E421" t="s">
        <v>34</v>
      </c>
      <c r="F421" t="s">
        <v>35</v>
      </c>
      <c r="G421" t="s">
        <v>22</v>
      </c>
      <c r="H421" t="s">
        <v>23</v>
      </c>
      <c r="I421" t="s">
        <v>33</v>
      </c>
      <c r="J421">
        <v>88.43</v>
      </c>
      <c r="K421">
        <v>8</v>
      </c>
      <c r="L421">
        <v>35.372</v>
      </c>
      <c r="M421">
        <v>742.81200000000001</v>
      </c>
      <c r="N421" s="1">
        <v>43546</v>
      </c>
      <c r="O421" s="2">
        <v>0.81597222222222221</v>
      </c>
      <c r="P421" t="s">
        <v>32</v>
      </c>
      <c r="Q421">
        <v>707.44</v>
      </c>
      <c r="R421">
        <v>4.7619047620000003</v>
      </c>
      <c r="S421">
        <v>35.372</v>
      </c>
      <c r="T421">
        <v>4.3</v>
      </c>
    </row>
    <row r="422" spans="1:20" x14ac:dyDescent="0.3">
      <c r="A422">
        <v>138</v>
      </c>
      <c r="C422">
        <v>17</v>
      </c>
      <c r="D422">
        <v>5109</v>
      </c>
      <c r="E422" t="s">
        <v>20</v>
      </c>
      <c r="F422" t="s">
        <v>21</v>
      </c>
      <c r="G422" t="s">
        <v>22</v>
      </c>
      <c r="H422" t="s">
        <v>23</v>
      </c>
      <c r="I422" t="s">
        <v>31</v>
      </c>
      <c r="J422">
        <v>89.21</v>
      </c>
      <c r="K422">
        <v>9</v>
      </c>
      <c r="L422">
        <v>40.144500000000001</v>
      </c>
      <c r="M422">
        <v>843.03449999999998</v>
      </c>
      <c r="N422" s="1">
        <v>43480</v>
      </c>
      <c r="O422" s="2">
        <v>0.65416666666666667</v>
      </c>
      <c r="P422" t="s">
        <v>32</v>
      </c>
      <c r="Q422">
        <v>802.89</v>
      </c>
      <c r="R422">
        <v>4.7619047620000003</v>
      </c>
      <c r="S422">
        <v>40.144500000000001</v>
      </c>
      <c r="T422">
        <v>6.5</v>
      </c>
    </row>
    <row r="423" spans="1:20" x14ac:dyDescent="0.3">
      <c r="A423">
        <v>192</v>
      </c>
      <c r="C423">
        <v>98</v>
      </c>
      <c r="D423">
        <v>7397</v>
      </c>
      <c r="E423" t="s">
        <v>26</v>
      </c>
      <c r="F423" t="s">
        <v>27</v>
      </c>
      <c r="G423" t="s">
        <v>28</v>
      </c>
      <c r="H423" t="s">
        <v>38</v>
      </c>
      <c r="I423" t="s">
        <v>37</v>
      </c>
      <c r="J423">
        <v>12.78</v>
      </c>
      <c r="K423">
        <v>1</v>
      </c>
      <c r="L423">
        <v>0.63900000000000001</v>
      </c>
      <c r="M423">
        <v>13.419</v>
      </c>
      <c r="N423" s="1">
        <v>43473</v>
      </c>
      <c r="O423" s="2">
        <v>0.59097222222222223</v>
      </c>
      <c r="P423" t="s">
        <v>25</v>
      </c>
      <c r="Q423">
        <v>12.78</v>
      </c>
      <c r="R423">
        <v>4.7619047620000003</v>
      </c>
      <c r="S423">
        <v>0.63900000000000001</v>
      </c>
      <c r="T423">
        <v>9.5</v>
      </c>
    </row>
    <row r="424" spans="1:20" x14ac:dyDescent="0.3">
      <c r="A424">
        <v>301</v>
      </c>
      <c r="C424">
        <v>11</v>
      </c>
      <c r="D424">
        <v>9629</v>
      </c>
      <c r="E424" t="s">
        <v>20</v>
      </c>
      <c r="F424" t="s">
        <v>21</v>
      </c>
      <c r="G424" t="s">
        <v>28</v>
      </c>
      <c r="H424" t="s">
        <v>23</v>
      </c>
      <c r="I424" t="s">
        <v>33</v>
      </c>
      <c r="J424">
        <v>19.100000000000001</v>
      </c>
      <c r="K424">
        <v>7</v>
      </c>
      <c r="L424">
        <v>6.6849999999999996</v>
      </c>
      <c r="M424">
        <v>140.38499999999999</v>
      </c>
      <c r="N424" s="1">
        <v>43480</v>
      </c>
      <c r="O424" s="2">
        <v>0.4465277777777778</v>
      </c>
      <c r="P424" t="s">
        <v>30</v>
      </c>
      <c r="Q424">
        <v>133.69999999999999</v>
      </c>
      <c r="R424">
        <v>4.7619047620000003</v>
      </c>
      <c r="S424">
        <v>6.6849999999999996</v>
      </c>
      <c r="T424">
        <v>9.6999999999999993</v>
      </c>
    </row>
    <row r="425" spans="1:20" x14ac:dyDescent="0.3">
      <c r="A425">
        <v>390</v>
      </c>
      <c r="C425">
        <v>80</v>
      </c>
      <c r="D425">
        <v>5128</v>
      </c>
      <c r="E425" t="s">
        <v>34</v>
      </c>
      <c r="F425" t="s">
        <v>35</v>
      </c>
      <c r="G425" t="s">
        <v>22</v>
      </c>
      <c r="H425" t="s">
        <v>23</v>
      </c>
      <c r="I425" t="s">
        <v>24</v>
      </c>
      <c r="J425">
        <v>19.149999999999999</v>
      </c>
      <c r="K425">
        <v>1</v>
      </c>
      <c r="L425">
        <v>0.95750000000000002</v>
      </c>
      <c r="M425">
        <v>20.107500000000002</v>
      </c>
      <c r="N425" s="1">
        <v>43493</v>
      </c>
      <c r="O425" s="2">
        <v>0.74861111111111112</v>
      </c>
      <c r="P425" t="s">
        <v>32</v>
      </c>
      <c r="Q425">
        <v>19.149999999999999</v>
      </c>
      <c r="R425">
        <v>4.7619047620000003</v>
      </c>
      <c r="S425">
        <v>0.95750000000000002</v>
      </c>
      <c r="T425">
        <v>9.5</v>
      </c>
    </row>
    <row r="426" spans="1:20" x14ac:dyDescent="0.3">
      <c r="A426">
        <v>235</v>
      </c>
      <c r="C426">
        <v>46</v>
      </c>
      <c r="D426">
        <v>8343</v>
      </c>
      <c r="E426" t="s">
        <v>26</v>
      </c>
      <c r="F426" t="s">
        <v>27</v>
      </c>
      <c r="G426" t="s">
        <v>22</v>
      </c>
      <c r="H426" t="s">
        <v>38</v>
      </c>
      <c r="I426" t="s">
        <v>36</v>
      </c>
      <c r="J426">
        <v>27.66</v>
      </c>
      <c r="K426">
        <v>10</v>
      </c>
      <c r="L426">
        <v>13.83</v>
      </c>
      <c r="M426">
        <v>290.43</v>
      </c>
      <c r="N426" s="1">
        <v>43510</v>
      </c>
      <c r="O426" s="2">
        <v>0.47638888888888886</v>
      </c>
      <c r="P426" t="s">
        <v>32</v>
      </c>
      <c r="Q426">
        <v>276.60000000000002</v>
      </c>
      <c r="R426">
        <v>4.7619047620000003</v>
      </c>
      <c r="S426">
        <v>13.83</v>
      </c>
      <c r="T426">
        <v>8.9</v>
      </c>
    </row>
    <row r="427" spans="1:20" x14ac:dyDescent="0.3">
      <c r="A427">
        <v>296</v>
      </c>
      <c r="C427">
        <v>11</v>
      </c>
      <c r="D427">
        <v>7041</v>
      </c>
      <c r="E427" t="s">
        <v>34</v>
      </c>
      <c r="F427" t="s">
        <v>35</v>
      </c>
      <c r="G427" t="s">
        <v>22</v>
      </c>
      <c r="H427" t="s">
        <v>23</v>
      </c>
      <c r="I427" t="s">
        <v>24</v>
      </c>
      <c r="J427">
        <v>27.07</v>
      </c>
      <c r="K427">
        <v>1</v>
      </c>
      <c r="L427">
        <v>1.3534999999999999</v>
      </c>
      <c r="M427">
        <v>28.423500000000001</v>
      </c>
      <c r="N427" s="1">
        <v>43477</v>
      </c>
      <c r="O427" s="2">
        <v>0.83819444444444446</v>
      </c>
      <c r="P427" t="s">
        <v>32</v>
      </c>
      <c r="Q427">
        <v>27.07</v>
      </c>
      <c r="R427">
        <v>4.7619047620000003</v>
      </c>
      <c r="S427">
        <v>1.3534999999999999</v>
      </c>
      <c r="T427">
        <v>5.3</v>
      </c>
    </row>
    <row r="428" spans="1:20" x14ac:dyDescent="0.3">
      <c r="A428">
        <v>449</v>
      </c>
      <c r="C428">
        <v>27</v>
      </c>
      <c r="D428">
        <v>2918</v>
      </c>
      <c r="E428" t="s">
        <v>34</v>
      </c>
      <c r="F428" t="s">
        <v>35</v>
      </c>
      <c r="G428" t="s">
        <v>22</v>
      </c>
      <c r="H428" t="s">
        <v>23</v>
      </c>
      <c r="I428" t="s">
        <v>33</v>
      </c>
      <c r="J428">
        <v>39.119999999999997</v>
      </c>
      <c r="K428">
        <v>1</v>
      </c>
      <c r="L428">
        <v>1.956</v>
      </c>
      <c r="M428">
        <v>41.076000000000001</v>
      </c>
      <c r="N428" s="1">
        <v>43550</v>
      </c>
      <c r="O428" s="2">
        <v>0.4597222222222222</v>
      </c>
      <c r="P428" t="s">
        <v>32</v>
      </c>
      <c r="Q428">
        <v>39.119999999999997</v>
      </c>
      <c r="R428">
        <v>4.7619047620000003</v>
      </c>
      <c r="S428">
        <v>1.956</v>
      </c>
      <c r="T428">
        <v>9.6</v>
      </c>
    </row>
    <row r="429" spans="1:20" x14ac:dyDescent="0.3">
      <c r="A429">
        <v>891</v>
      </c>
      <c r="C429">
        <v>1</v>
      </c>
      <c r="D429">
        <v>7034</v>
      </c>
      <c r="E429" t="s">
        <v>34</v>
      </c>
      <c r="F429" t="s">
        <v>35</v>
      </c>
      <c r="G429" t="s">
        <v>28</v>
      </c>
      <c r="H429" t="s">
        <v>23</v>
      </c>
      <c r="I429" t="s">
        <v>29</v>
      </c>
      <c r="J429">
        <v>74.709999999999994</v>
      </c>
      <c r="K429">
        <v>6</v>
      </c>
      <c r="L429">
        <v>22.413</v>
      </c>
      <c r="M429">
        <v>470.673</v>
      </c>
      <c r="N429" s="1">
        <v>43466</v>
      </c>
      <c r="O429" s="2">
        <v>0.79652777777777772</v>
      </c>
      <c r="P429" t="s">
        <v>30</v>
      </c>
      <c r="Q429">
        <v>448.26</v>
      </c>
      <c r="R429">
        <v>4.7619047620000003</v>
      </c>
      <c r="S429">
        <v>22.413</v>
      </c>
      <c r="T429">
        <v>6.7</v>
      </c>
    </row>
    <row r="430" spans="1:20" x14ac:dyDescent="0.3">
      <c r="A430">
        <v>744</v>
      </c>
      <c r="C430">
        <v>9</v>
      </c>
      <c r="D430">
        <v>5786</v>
      </c>
      <c r="E430" t="s">
        <v>34</v>
      </c>
      <c r="F430" t="s">
        <v>35</v>
      </c>
      <c r="G430" t="s">
        <v>28</v>
      </c>
      <c r="H430" t="s">
        <v>38</v>
      </c>
      <c r="I430" t="s">
        <v>29</v>
      </c>
      <c r="J430">
        <v>22.01</v>
      </c>
      <c r="K430">
        <v>6</v>
      </c>
      <c r="L430">
        <v>6.6029999999999998</v>
      </c>
      <c r="M430">
        <v>138.66300000000001</v>
      </c>
      <c r="N430" s="1">
        <v>43467</v>
      </c>
      <c r="O430" s="2">
        <v>0.78472222222222221</v>
      </c>
      <c r="P430" t="s">
        <v>30</v>
      </c>
      <c r="Q430">
        <v>132.06</v>
      </c>
      <c r="R430">
        <v>4.7619047620000003</v>
      </c>
      <c r="S430">
        <v>6.6029999999999998</v>
      </c>
      <c r="T430">
        <v>7.6</v>
      </c>
    </row>
    <row r="431" spans="1:20" x14ac:dyDescent="0.3">
      <c r="A431">
        <v>727</v>
      </c>
      <c r="C431">
        <v>17</v>
      </c>
      <c r="D431">
        <v>390</v>
      </c>
      <c r="E431" t="s">
        <v>20</v>
      </c>
      <c r="F431" t="s">
        <v>21</v>
      </c>
      <c r="G431" t="s">
        <v>28</v>
      </c>
      <c r="H431" t="s">
        <v>23</v>
      </c>
      <c r="I431" t="s">
        <v>36</v>
      </c>
      <c r="J431">
        <v>63.61</v>
      </c>
      <c r="K431">
        <v>5</v>
      </c>
      <c r="L431">
        <v>15.9025</v>
      </c>
      <c r="M431">
        <v>333.95249999999999</v>
      </c>
      <c r="N431" s="1">
        <v>43540</v>
      </c>
      <c r="O431" s="2">
        <v>0.52986111111111112</v>
      </c>
      <c r="P431" t="s">
        <v>25</v>
      </c>
      <c r="Q431">
        <v>318.05</v>
      </c>
      <c r="R431">
        <v>4.7619047620000003</v>
      </c>
      <c r="S431">
        <v>15.9025</v>
      </c>
      <c r="T431">
        <v>4.8</v>
      </c>
    </row>
    <row r="432" spans="1:20" x14ac:dyDescent="0.3">
      <c r="A432">
        <v>568</v>
      </c>
      <c r="C432">
        <v>88</v>
      </c>
      <c r="D432">
        <v>3448</v>
      </c>
      <c r="E432" t="s">
        <v>20</v>
      </c>
      <c r="F432" t="s">
        <v>21</v>
      </c>
      <c r="G432" t="s">
        <v>28</v>
      </c>
      <c r="H432" t="s">
        <v>38</v>
      </c>
      <c r="I432" t="s">
        <v>24</v>
      </c>
      <c r="J432">
        <v>25</v>
      </c>
      <c r="K432">
        <v>1</v>
      </c>
      <c r="L432">
        <v>1.25</v>
      </c>
      <c r="M432">
        <v>26.25</v>
      </c>
      <c r="N432" s="1">
        <v>43527</v>
      </c>
      <c r="O432" s="2">
        <v>0.63124999999999998</v>
      </c>
      <c r="P432" t="s">
        <v>25</v>
      </c>
      <c r="Q432">
        <v>25</v>
      </c>
      <c r="R432">
        <v>4.7619047620000003</v>
      </c>
      <c r="S432">
        <v>1.25</v>
      </c>
      <c r="T432">
        <v>5.5</v>
      </c>
    </row>
    <row r="433" spans="1:20" x14ac:dyDescent="0.3">
      <c r="A433">
        <v>187</v>
      </c>
      <c r="C433">
        <v>83</v>
      </c>
      <c r="D433">
        <v>5490</v>
      </c>
      <c r="E433" t="s">
        <v>20</v>
      </c>
      <c r="F433" t="s">
        <v>21</v>
      </c>
      <c r="G433" t="s">
        <v>22</v>
      </c>
      <c r="H433" t="s">
        <v>38</v>
      </c>
      <c r="I433" t="s">
        <v>29</v>
      </c>
      <c r="J433">
        <v>20.77</v>
      </c>
      <c r="K433">
        <v>4</v>
      </c>
      <c r="L433">
        <v>4.1539999999999999</v>
      </c>
      <c r="M433">
        <v>87.233999999999995</v>
      </c>
      <c r="N433" s="1">
        <v>43496</v>
      </c>
      <c r="O433" s="2">
        <v>0.57430555555555551</v>
      </c>
      <c r="P433" t="s">
        <v>30</v>
      </c>
      <c r="Q433">
        <v>83.08</v>
      </c>
      <c r="R433">
        <v>4.7619047620000003</v>
      </c>
      <c r="S433">
        <v>4.1539999999999999</v>
      </c>
      <c r="T433">
        <v>4.7</v>
      </c>
    </row>
    <row r="434" spans="1:20" x14ac:dyDescent="0.3">
      <c r="A434">
        <v>767</v>
      </c>
      <c r="C434">
        <v>54</v>
      </c>
      <c r="D434">
        <v>1907</v>
      </c>
      <c r="E434" t="s">
        <v>34</v>
      </c>
      <c r="F434" t="s">
        <v>35</v>
      </c>
      <c r="G434" t="s">
        <v>22</v>
      </c>
      <c r="H434" t="s">
        <v>23</v>
      </c>
      <c r="I434" t="s">
        <v>37</v>
      </c>
      <c r="J434">
        <v>29.56</v>
      </c>
      <c r="K434">
        <v>5</v>
      </c>
      <c r="L434">
        <v>7.39</v>
      </c>
      <c r="M434">
        <v>155.19</v>
      </c>
      <c r="N434" s="1">
        <v>43509</v>
      </c>
      <c r="O434" s="2">
        <v>0.70763888888888893</v>
      </c>
      <c r="P434" t="s">
        <v>30</v>
      </c>
      <c r="Q434">
        <v>147.80000000000001</v>
      </c>
      <c r="R434">
        <v>4.7619047620000003</v>
      </c>
      <c r="S434">
        <v>7.39</v>
      </c>
      <c r="T434">
        <v>6.9</v>
      </c>
    </row>
    <row r="435" spans="1:20" x14ac:dyDescent="0.3">
      <c r="A435">
        <v>710</v>
      </c>
      <c r="C435">
        <v>46</v>
      </c>
      <c r="D435">
        <v>4433</v>
      </c>
      <c r="E435" t="s">
        <v>34</v>
      </c>
      <c r="F435" t="s">
        <v>35</v>
      </c>
      <c r="G435" t="s">
        <v>22</v>
      </c>
      <c r="H435" t="s">
        <v>23</v>
      </c>
      <c r="I435" t="s">
        <v>36</v>
      </c>
      <c r="J435">
        <v>77.400000000000006</v>
      </c>
      <c r="K435">
        <v>9</v>
      </c>
      <c r="L435">
        <v>34.83</v>
      </c>
      <c r="M435">
        <v>731.43</v>
      </c>
      <c r="N435" s="1">
        <v>43511</v>
      </c>
      <c r="O435" s="2">
        <v>0.59375</v>
      </c>
      <c r="P435" t="s">
        <v>32</v>
      </c>
      <c r="Q435">
        <v>696.6</v>
      </c>
      <c r="R435">
        <v>4.7619047620000003</v>
      </c>
      <c r="S435">
        <v>34.83</v>
      </c>
      <c r="T435">
        <v>4.5</v>
      </c>
    </row>
    <row r="436" spans="1:20" x14ac:dyDescent="0.3">
      <c r="A436">
        <v>533</v>
      </c>
      <c r="C436">
        <v>33</v>
      </c>
      <c r="D436">
        <v>5337</v>
      </c>
      <c r="E436" t="s">
        <v>34</v>
      </c>
      <c r="F436" t="s">
        <v>35</v>
      </c>
      <c r="G436" t="s">
        <v>28</v>
      </c>
      <c r="H436" t="s">
        <v>38</v>
      </c>
      <c r="I436" t="s">
        <v>29</v>
      </c>
      <c r="J436">
        <v>79.39</v>
      </c>
      <c r="K436">
        <v>10</v>
      </c>
      <c r="L436">
        <v>39.695</v>
      </c>
      <c r="M436">
        <v>833.59500000000003</v>
      </c>
      <c r="N436" s="1">
        <v>43503</v>
      </c>
      <c r="O436" s="2">
        <v>0.85</v>
      </c>
      <c r="P436" t="s">
        <v>30</v>
      </c>
      <c r="Q436">
        <v>793.9</v>
      </c>
      <c r="R436">
        <v>4.7619047620000003</v>
      </c>
      <c r="S436">
        <v>39.695</v>
      </c>
      <c r="T436">
        <v>6.2</v>
      </c>
    </row>
    <row r="437" spans="1:20" x14ac:dyDescent="0.3">
      <c r="A437">
        <v>325</v>
      </c>
      <c r="C437">
        <v>90</v>
      </c>
      <c r="D437">
        <v>8763</v>
      </c>
      <c r="E437" t="s">
        <v>26</v>
      </c>
      <c r="F437" t="s">
        <v>27</v>
      </c>
      <c r="G437" t="s">
        <v>22</v>
      </c>
      <c r="H437" t="s">
        <v>23</v>
      </c>
      <c r="I437" t="s">
        <v>29</v>
      </c>
      <c r="J437">
        <v>46.57</v>
      </c>
      <c r="K437">
        <v>10</v>
      </c>
      <c r="L437">
        <v>23.285</v>
      </c>
      <c r="M437">
        <v>488.98500000000001</v>
      </c>
      <c r="N437" s="1">
        <v>43492</v>
      </c>
      <c r="O437" s="2">
        <v>0.58194444444444449</v>
      </c>
      <c r="P437" t="s">
        <v>30</v>
      </c>
      <c r="Q437">
        <v>465.7</v>
      </c>
      <c r="R437">
        <v>4.7619047620000003</v>
      </c>
      <c r="S437">
        <v>23.285</v>
      </c>
      <c r="T437">
        <v>7.6</v>
      </c>
    </row>
    <row r="438" spans="1:20" x14ac:dyDescent="0.3">
      <c r="A438">
        <v>729</v>
      </c>
      <c r="C438">
        <v>46</v>
      </c>
      <c r="D438">
        <v>7422</v>
      </c>
      <c r="E438" t="s">
        <v>26</v>
      </c>
      <c r="F438" t="s">
        <v>27</v>
      </c>
      <c r="G438" t="s">
        <v>28</v>
      </c>
      <c r="H438" t="s">
        <v>38</v>
      </c>
      <c r="I438" t="s">
        <v>36</v>
      </c>
      <c r="J438">
        <v>35.89</v>
      </c>
      <c r="K438">
        <v>1</v>
      </c>
      <c r="L438">
        <v>1.7945</v>
      </c>
      <c r="M438">
        <v>37.6845</v>
      </c>
      <c r="N438" s="1">
        <v>43519</v>
      </c>
      <c r="O438" s="2">
        <v>0.70277777777777772</v>
      </c>
      <c r="P438" t="s">
        <v>32</v>
      </c>
      <c r="Q438">
        <v>35.89</v>
      </c>
      <c r="R438">
        <v>4.7619047620000003</v>
      </c>
      <c r="S438">
        <v>1.7945</v>
      </c>
      <c r="T438">
        <v>7.9</v>
      </c>
    </row>
    <row r="439" spans="1:20" x14ac:dyDescent="0.3">
      <c r="A439">
        <v>639</v>
      </c>
      <c r="C439">
        <v>76</v>
      </c>
      <c r="D439">
        <v>1242</v>
      </c>
      <c r="E439" t="s">
        <v>26</v>
      </c>
      <c r="F439" t="s">
        <v>27</v>
      </c>
      <c r="G439" t="s">
        <v>28</v>
      </c>
      <c r="H439" t="s">
        <v>38</v>
      </c>
      <c r="I439" t="s">
        <v>36</v>
      </c>
      <c r="J439">
        <v>40.520000000000003</v>
      </c>
      <c r="K439">
        <v>5</v>
      </c>
      <c r="L439">
        <v>10.130000000000001</v>
      </c>
      <c r="M439">
        <v>212.73</v>
      </c>
      <c r="N439" s="1">
        <v>43499</v>
      </c>
      <c r="O439" s="2">
        <v>0.6381944444444444</v>
      </c>
      <c r="P439" t="s">
        <v>30</v>
      </c>
      <c r="Q439">
        <v>202.6</v>
      </c>
      <c r="R439">
        <v>4.7619047620000003</v>
      </c>
      <c r="S439">
        <v>10.130000000000001</v>
      </c>
      <c r="T439">
        <v>4.5</v>
      </c>
    </row>
    <row r="440" spans="1:20" x14ac:dyDescent="0.3">
      <c r="A440">
        <v>234</v>
      </c>
      <c r="C440">
        <v>3</v>
      </c>
      <c r="D440">
        <v>4040</v>
      </c>
      <c r="E440" t="s">
        <v>34</v>
      </c>
      <c r="F440" t="s">
        <v>35</v>
      </c>
      <c r="G440" t="s">
        <v>22</v>
      </c>
      <c r="H440" t="s">
        <v>23</v>
      </c>
      <c r="I440" t="s">
        <v>36</v>
      </c>
      <c r="J440">
        <v>73.05</v>
      </c>
      <c r="K440">
        <v>10</v>
      </c>
      <c r="L440">
        <v>36.524999999999999</v>
      </c>
      <c r="M440">
        <v>767.02499999999998</v>
      </c>
      <c r="N440" s="1">
        <v>43527</v>
      </c>
      <c r="O440" s="2">
        <v>0.51736111111111116</v>
      </c>
      <c r="P440" t="s">
        <v>32</v>
      </c>
      <c r="Q440">
        <v>730.5</v>
      </c>
      <c r="R440">
        <v>4.7619047620000003</v>
      </c>
      <c r="S440">
        <v>36.524999999999999</v>
      </c>
      <c r="T440">
        <v>8.6999999999999993</v>
      </c>
    </row>
    <row r="441" spans="1:20" x14ac:dyDescent="0.3">
      <c r="A441">
        <v>326</v>
      </c>
      <c r="C441">
        <v>71</v>
      </c>
      <c r="D441">
        <v>2155</v>
      </c>
      <c r="E441" t="s">
        <v>26</v>
      </c>
      <c r="F441" t="s">
        <v>27</v>
      </c>
      <c r="G441" t="s">
        <v>28</v>
      </c>
      <c r="H441" t="s">
        <v>23</v>
      </c>
      <c r="I441" t="s">
        <v>33</v>
      </c>
      <c r="J441">
        <v>73.95</v>
      </c>
      <c r="K441">
        <v>4</v>
      </c>
      <c r="L441">
        <v>14.79</v>
      </c>
      <c r="M441">
        <v>310.58999999999997</v>
      </c>
      <c r="N441" s="1">
        <v>43499</v>
      </c>
      <c r="O441" s="2">
        <v>0.41805555555555557</v>
      </c>
      <c r="P441" t="s">
        <v>30</v>
      </c>
      <c r="Q441">
        <v>295.8</v>
      </c>
      <c r="R441">
        <v>4.7619047620000003</v>
      </c>
      <c r="S441">
        <v>14.79</v>
      </c>
      <c r="T441">
        <v>6.1</v>
      </c>
    </row>
    <row r="442" spans="1:20" x14ac:dyDescent="0.3">
      <c r="A442">
        <v>320</v>
      </c>
      <c r="C442">
        <v>32</v>
      </c>
      <c r="D442">
        <v>8842</v>
      </c>
      <c r="E442" t="s">
        <v>26</v>
      </c>
      <c r="F442" t="s">
        <v>27</v>
      </c>
      <c r="G442" t="s">
        <v>22</v>
      </c>
      <c r="H442" t="s">
        <v>23</v>
      </c>
      <c r="I442" t="s">
        <v>36</v>
      </c>
      <c r="J442">
        <v>22.62</v>
      </c>
      <c r="K442">
        <v>1</v>
      </c>
      <c r="L442">
        <v>1.131</v>
      </c>
      <c r="M442">
        <v>23.751000000000001</v>
      </c>
      <c r="N442" s="1">
        <v>43541</v>
      </c>
      <c r="O442" s="2">
        <v>0.79027777777777775</v>
      </c>
      <c r="P442" t="s">
        <v>30</v>
      </c>
      <c r="Q442">
        <v>22.62</v>
      </c>
      <c r="R442">
        <v>4.7619047620000003</v>
      </c>
      <c r="S442">
        <v>1.131</v>
      </c>
      <c r="T442">
        <v>6.4</v>
      </c>
    </row>
    <row r="443" spans="1:20" x14ac:dyDescent="0.3">
      <c r="A443">
        <v>470</v>
      </c>
      <c r="C443">
        <v>32</v>
      </c>
      <c r="D443">
        <v>9057</v>
      </c>
      <c r="E443" t="s">
        <v>20</v>
      </c>
      <c r="F443" t="s">
        <v>21</v>
      </c>
      <c r="G443" t="s">
        <v>22</v>
      </c>
      <c r="H443" t="s">
        <v>38</v>
      </c>
      <c r="I443" t="s">
        <v>36</v>
      </c>
      <c r="J443">
        <v>51.34</v>
      </c>
      <c r="K443">
        <v>5</v>
      </c>
      <c r="L443">
        <v>12.835000000000001</v>
      </c>
      <c r="M443">
        <v>269.53500000000003</v>
      </c>
      <c r="N443" s="1">
        <v>43552</v>
      </c>
      <c r="O443" s="2">
        <v>0.64652777777777781</v>
      </c>
      <c r="P443" t="s">
        <v>32</v>
      </c>
      <c r="Q443">
        <v>256.7</v>
      </c>
      <c r="R443">
        <v>4.7619047620000003</v>
      </c>
      <c r="S443">
        <v>12.835000000000001</v>
      </c>
      <c r="T443">
        <v>9.1</v>
      </c>
    </row>
    <row r="444" spans="1:20" x14ac:dyDescent="0.3">
      <c r="A444">
        <v>440</v>
      </c>
      <c r="C444">
        <v>59</v>
      </c>
      <c r="D444">
        <v>5691</v>
      </c>
      <c r="E444" t="s">
        <v>26</v>
      </c>
      <c r="F444" t="s">
        <v>27</v>
      </c>
      <c r="G444" t="s">
        <v>22</v>
      </c>
      <c r="H444" t="s">
        <v>23</v>
      </c>
      <c r="I444" t="s">
        <v>24</v>
      </c>
      <c r="J444">
        <v>37.15</v>
      </c>
      <c r="K444">
        <v>7</v>
      </c>
      <c r="L444">
        <v>13.0025</v>
      </c>
      <c r="M444">
        <v>273.05250000000001</v>
      </c>
      <c r="N444" s="1">
        <v>43504</v>
      </c>
      <c r="O444" s="2">
        <v>0.55000000000000004</v>
      </c>
      <c r="P444" t="s">
        <v>32</v>
      </c>
      <c r="Q444">
        <v>260.05</v>
      </c>
      <c r="R444">
        <v>4.7619047620000003</v>
      </c>
      <c r="S444">
        <v>13.0025</v>
      </c>
      <c r="T444">
        <v>7.7</v>
      </c>
    </row>
    <row r="445" spans="1:20" x14ac:dyDescent="0.3">
      <c r="A445">
        <v>554</v>
      </c>
      <c r="C445">
        <v>53</v>
      </c>
      <c r="D445">
        <v>3790</v>
      </c>
      <c r="E445" t="s">
        <v>34</v>
      </c>
      <c r="F445" t="s">
        <v>35</v>
      </c>
      <c r="G445" t="s">
        <v>28</v>
      </c>
      <c r="H445" t="s">
        <v>38</v>
      </c>
      <c r="I445" t="s">
        <v>33</v>
      </c>
      <c r="J445">
        <v>37.020000000000003</v>
      </c>
      <c r="K445">
        <v>6</v>
      </c>
      <c r="L445">
        <v>11.106</v>
      </c>
      <c r="M445">
        <v>233.226</v>
      </c>
      <c r="N445" s="1">
        <v>43546</v>
      </c>
      <c r="O445" s="2">
        <v>0.7729166666666667</v>
      </c>
      <c r="P445" t="s">
        <v>30</v>
      </c>
      <c r="Q445">
        <v>222.12</v>
      </c>
      <c r="R445">
        <v>4.7619047620000003</v>
      </c>
      <c r="S445">
        <v>11.106</v>
      </c>
      <c r="T445">
        <v>4.5</v>
      </c>
    </row>
    <row r="446" spans="1:20" x14ac:dyDescent="0.3">
      <c r="A446">
        <v>746</v>
      </c>
      <c r="C446">
        <v>19</v>
      </c>
      <c r="D446">
        <v>921</v>
      </c>
      <c r="E446" t="s">
        <v>26</v>
      </c>
      <c r="F446" t="s">
        <v>27</v>
      </c>
      <c r="G446" t="s">
        <v>28</v>
      </c>
      <c r="H446" t="s">
        <v>38</v>
      </c>
      <c r="I446" t="s">
        <v>36</v>
      </c>
      <c r="J446">
        <v>21.58</v>
      </c>
      <c r="K446">
        <v>1</v>
      </c>
      <c r="L446">
        <v>1.079</v>
      </c>
      <c r="M446">
        <v>22.658999999999999</v>
      </c>
      <c r="N446" s="1">
        <v>43505</v>
      </c>
      <c r="O446" s="2">
        <v>0.41805555555555557</v>
      </c>
      <c r="P446" t="s">
        <v>25</v>
      </c>
      <c r="Q446">
        <v>21.58</v>
      </c>
      <c r="R446">
        <v>4.7619047620000003</v>
      </c>
      <c r="S446">
        <v>1.079</v>
      </c>
      <c r="T446">
        <v>7.2</v>
      </c>
    </row>
    <row r="447" spans="1:20" x14ac:dyDescent="0.3">
      <c r="A447">
        <v>233</v>
      </c>
      <c r="C447">
        <v>34</v>
      </c>
      <c r="D447">
        <v>817</v>
      </c>
      <c r="E447" t="s">
        <v>26</v>
      </c>
      <c r="F447" t="s">
        <v>27</v>
      </c>
      <c r="G447" t="s">
        <v>22</v>
      </c>
      <c r="H447" t="s">
        <v>23</v>
      </c>
      <c r="I447" t="s">
        <v>29</v>
      </c>
      <c r="J447">
        <v>98.84</v>
      </c>
      <c r="K447">
        <v>1</v>
      </c>
      <c r="L447">
        <v>4.9420000000000002</v>
      </c>
      <c r="M447">
        <v>103.782</v>
      </c>
      <c r="N447" s="1">
        <v>43511</v>
      </c>
      <c r="O447" s="2">
        <v>0.47291666666666665</v>
      </c>
      <c r="P447" t="s">
        <v>30</v>
      </c>
      <c r="Q447">
        <v>98.84</v>
      </c>
      <c r="R447">
        <v>4.7619047620000003</v>
      </c>
      <c r="S447">
        <v>4.9420000000000002</v>
      </c>
      <c r="T447">
        <v>8.4</v>
      </c>
    </row>
    <row r="448" spans="1:20" x14ac:dyDescent="0.3">
      <c r="A448">
        <v>767</v>
      </c>
      <c r="C448">
        <v>5</v>
      </c>
      <c r="D448">
        <v>1286</v>
      </c>
      <c r="E448" t="s">
        <v>26</v>
      </c>
      <c r="F448" t="s">
        <v>27</v>
      </c>
      <c r="G448" t="s">
        <v>22</v>
      </c>
      <c r="H448" t="s">
        <v>23</v>
      </c>
      <c r="I448" t="s">
        <v>31</v>
      </c>
      <c r="J448">
        <v>83.77</v>
      </c>
      <c r="K448">
        <v>6</v>
      </c>
      <c r="L448">
        <v>25.131</v>
      </c>
      <c r="M448">
        <v>527.75099999999998</v>
      </c>
      <c r="N448" s="1">
        <v>43488</v>
      </c>
      <c r="O448" s="2">
        <v>0.50694444444444442</v>
      </c>
      <c r="P448" t="s">
        <v>25</v>
      </c>
      <c r="Q448">
        <v>502.62</v>
      </c>
      <c r="R448">
        <v>4.7619047620000003</v>
      </c>
      <c r="S448">
        <v>25.131</v>
      </c>
      <c r="T448">
        <v>5.4</v>
      </c>
    </row>
    <row r="449" spans="1:20" x14ac:dyDescent="0.3">
      <c r="A449">
        <v>340</v>
      </c>
      <c r="C449">
        <v>21</v>
      </c>
      <c r="D449">
        <v>9136</v>
      </c>
      <c r="E449" t="s">
        <v>20</v>
      </c>
      <c r="F449" t="s">
        <v>21</v>
      </c>
      <c r="G449" t="s">
        <v>22</v>
      </c>
      <c r="H449" t="s">
        <v>23</v>
      </c>
      <c r="I449" t="s">
        <v>33</v>
      </c>
      <c r="J449">
        <v>40.049999999999997</v>
      </c>
      <c r="K449">
        <v>4</v>
      </c>
      <c r="L449">
        <v>8.01</v>
      </c>
      <c r="M449">
        <v>168.21</v>
      </c>
      <c r="N449" s="1">
        <v>43490</v>
      </c>
      <c r="O449" s="2">
        <v>0.4861111111111111</v>
      </c>
      <c r="P449" t="s">
        <v>30</v>
      </c>
      <c r="Q449">
        <v>160.19999999999999</v>
      </c>
      <c r="R449">
        <v>4.7619047620000003</v>
      </c>
      <c r="S449">
        <v>8.01</v>
      </c>
      <c r="T449">
        <v>9.6999999999999993</v>
      </c>
    </row>
    <row r="450" spans="1:20" x14ac:dyDescent="0.3">
      <c r="A450">
        <v>405</v>
      </c>
      <c r="C450">
        <v>31</v>
      </c>
      <c r="D450">
        <v>3305</v>
      </c>
      <c r="E450" t="s">
        <v>20</v>
      </c>
      <c r="F450" t="s">
        <v>21</v>
      </c>
      <c r="G450" t="s">
        <v>22</v>
      </c>
      <c r="H450" t="s">
        <v>38</v>
      </c>
      <c r="I450" t="s">
        <v>37</v>
      </c>
      <c r="J450">
        <v>43.13</v>
      </c>
      <c r="K450">
        <v>10</v>
      </c>
      <c r="L450">
        <v>21.565000000000001</v>
      </c>
      <c r="M450">
        <v>452.86500000000001</v>
      </c>
      <c r="N450" s="1">
        <v>43498</v>
      </c>
      <c r="O450" s="2">
        <v>0.77152777777777781</v>
      </c>
      <c r="P450" t="s">
        <v>32</v>
      </c>
      <c r="Q450">
        <v>431.3</v>
      </c>
      <c r="R450">
        <v>4.7619047620000003</v>
      </c>
      <c r="S450">
        <v>21.565000000000001</v>
      </c>
      <c r="T450">
        <v>5.5</v>
      </c>
    </row>
    <row r="451" spans="1:20" x14ac:dyDescent="0.3">
      <c r="A451">
        <v>731</v>
      </c>
      <c r="C451">
        <v>59</v>
      </c>
      <c r="D451">
        <v>7531</v>
      </c>
      <c r="E451" t="s">
        <v>34</v>
      </c>
      <c r="F451" t="s">
        <v>35</v>
      </c>
      <c r="G451" t="s">
        <v>22</v>
      </c>
      <c r="H451" t="s">
        <v>38</v>
      </c>
      <c r="I451" t="s">
        <v>24</v>
      </c>
      <c r="J451">
        <v>72.569999999999993</v>
      </c>
      <c r="K451">
        <v>8</v>
      </c>
      <c r="L451">
        <v>29.027999999999999</v>
      </c>
      <c r="M451">
        <v>609.58799999999997</v>
      </c>
      <c r="N451" s="1">
        <v>43554</v>
      </c>
      <c r="O451" s="2">
        <v>0.74861111111111112</v>
      </c>
      <c r="P451" t="s">
        <v>30</v>
      </c>
      <c r="Q451">
        <v>580.55999999999995</v>
      </c>
      <c r="R451">
        <v>4.7619047620000003</v>
      </c>
      <c r="S451">
        <v>29.027999999999999</v>
      </c>
      <c r="T451">
        <v>4.5999999999999996</v>
      </c>
    </row>
    <row r="452" spans="1:20" x14ac:dyDescent="0.3">
      <c r="A452">
        <v>676</v>
      </c>
      <c r="C452">
        <v>39</v>
      </c>
      <c r="D452">
        <v>6028</v>
      </c>
      <c r="E452" t="s">
        <v>20</v>
      </c>
      <c r="F452" t="s">
        <v>21</v>
      </c>
      <c r="G452" t="s">
        <v>22</v>
      </c>
      <c r="H452" t="s">
        <v>23</v>
      </c>
      <c r="I452" t="s">
        <v>29</v>
      </c>
      <c r="J452">
        <v>64.44</v>
      </c>
      <c r="K452">
        <v>5</v>
      </c>
      <c r="L452">
        <v>16.11</v>
      </c>
      <c r="M452">
        <v>338.31</v>
      </c>
      <c r="N452" s="1">
        <v>43554</v>
      </c>
      <c r="O452" s="2">
        <v>0.71111111111111114</v>
      </c>
      <c r="P452" t="s">
        <v>30</v>
      </c>
      <c r="Q452">
        <v>322.2</v>
      </c>
      <c r="R452">
        <v>4.7619047620000003</v>
      </c>
      <c r="S452">
        <v>16.11</v>
      </c>
      <c r="T452">
        <v>6.6</v>
      </c>
    </row>
    <row r="453" spans="1:20" x14ac:dyDescent="0.3">
      <c r="A453">
        <v>502</v>
      </c>
      <c r="C453">
        <v>5</v>
      </c>
      <c r="D453">
        <v>1910</v>
      </c>
      <c r="E453" t="s">
        <v>20</v>
      </c>
      <c r="F453" t="s">
        <v>21</v>
      </c>
      <c r="G453" t="s">
        <v>28</v>
      </c>
      <c r="H453" t="s">
        <v>38</v>
      </c>
      <c r="I453" t="s">
        <v>24</v>
      </c>
      <c r="J453">
        <v>65.180000000000007</v>
      </c>
      <c r="K453">
        <v>3</v>
      </c>
      <c r="L453">
        <v>9.7769999999999992</v>
      </c>
      <c r="M453">
        <v>205.31700000000001</v>
      </c>
      <c r="N453" s="1">
        <v>43521</v>
      </c>
      <c r="O453" s="2">
        <v>0.85763888888888884</v>
      </c>
      <c r="P453" t="s">
        <v>32</v>
      </c>
      <c r="Q453">
        <v>195.54</v>
      </c>
      <c r="R453">
        <v>4.7619047620000003</v>
      </c>
      <c r="S453">
        <v>9.7769999999999992</v>
      </c>
      <c r="T453">
        <v>6.3</v>
      </c>
    </row>
    <row r="454" spans="1:20" x14ac:dyDescent="0.3">
      <c r="A454">
        <v>485</v>
      </c>
      <c r="C454">
        <v>30</v>
      </c>
      <c r="D454">
        <v>8700</v>
      </c>
      <c r="E454" t="s">
        <v>20</v>
      </c>
      <c r="F454" t="s">
        <v>21</v>
      </c>
      <c r="G454" t="s">
        <v>28</v>
      </c>
      <c r="H454" t="s">
        <v>23</v>
      </c>
      <c r="I454" t="s">
        <v>33</v>
      </c>
      <c r="J454">
        <v>33.26</v>
      </c>
      <c r="K454">
        <v>5</v>
      </c>
      <c r="L454">
        <v>8.3149999999999995</v>
      </c>
      <c r="M454">
        <v>174.61500000000001</v>
      </c>
      <c r="N454" s="1">
        <v>43542</v>
      </c>
      <c r="O454" s="2">
        <v>0.67361111111111116</v>
      </c>
      <c r="P454" t="s">
        <v>32</v>
      </c>
      <c r="Q454">
        <v>166.3</v>
      </c>
      <c r="R454">
        <v>4.7619047620000003</v>
      </c>
      <c r="S454">
        <v>8.3149999999999995</v>
      </c>
      <c r="T454">
        <v>4.2</v>
      </c>
    </row>
    <row r="455" spans="1:20" x14ac:dyDescent="0.3">
      <c r="A455">
        <v>598</v>
      </c>
      <c r="C455">
        <v>47</v>
      </c>
      <c r="D455">
        <v>9715</v>
      </c>
      <c r="E455" t="s">
        <v>26</v>
      </c>
      <c r="F455" t="s">
        <v>27</v>
      </c>
      <c r="G455" t="s">
        <v>28</v>
      </c>
      <c r="H455" t="s">
        <v>38</v>
      </c>
      <c r="I455" t="s">
        <v>29</v>
      </c>
      <c r="J455">
        <v>84.07</v>
      </c>
      <c r="K455">
        <v>4</v>
      </c>
      <c r="L455">
        <v>16.814</v>
      </c>
      <c r="M455">
        <v>353.09399999999999</v>
      </c>
      <c r="N455" s="1">
        <v>43531</v>
      </c>
      <c r="O455" s="2">
        <v>0.70416666666666672</v>
      </c>
      <c r="P455" t="s">
        <v>25</v>
      </c>
      <c r="Q455">
        <v>336.28</v>
      </c>
      <c r="R455">
        <v>4.7619047620000003</v>
      </c>
      <c r="S455">
        <v>16.814</v>
      </c>
      <c r="T455">
        <v>4.4000000000000004</v>
      </c>
    </row>
    <row r="456" spans="1:20" x14ac:dyDescent="0.3">
      <c r="A456">
        <v>701</v>
      </c>
      <c r="C456">
        <v>69</v>
      </c>
      <c r="D456">
        <v>8742</v>
      </c>
      <c r="E456" t="s">
        <v>34</v>
      </c>
      <c r="F456" t="s">
        <v>35</v>
      </c>
      <c r="G456" t="s">
        <v>28</v>
      </c>
      <c r="H456" t="s">
        <v>38</v>
      </c>
      <c r="I456" t="s">
        <v>33</v>
      </c>
      <c r="J456">
        <v>34.369999999999997</v>
      </c>
      <c r="K456">
        <v>10</v>
      </c>
      <c r="L456">
        <v>17.184999999999999</v>
      </c>
      <c r="M456">
        <v>360.88499999999999</v>
      </c>
      <c r="N456" s="1">
        <v>43540</v>
      </c>
      <c r="O456" s="2">
        <v>0.42430555555555555</v>
      </c>
      <c r="P456" t="s">
        <v>25</v>
      </c>
      <c r="Q456">
        <v>343.7</v>
      </c>
      <c r="R456">
        <v>4.7619047620000003</v>
      </c>
      <c r="S456">
        <v>17.184999999999999</v>
      </c>
      <c r="T456">
        <v>6.7</v>
      </c>
    </row>
    <row r="457" spans="1:20" x14ac:dyDescent="0.3">
      <c r="A457">
        <v>541</v>
      </c>
      <c r="C457">
        <v>8</v>
      </c>
      <c r="D457">
        <v>3113</v>
      </c>
      <c r="E457" t="s">
        <v>26</v>
      </c>
      <c r="F457" t="s">
        <v>27</v>
      </c>
      <c r="G457" t="s">
        <v>28</v>
      </c>
      <c r="H457" t="s">
        <v>38</v>
      </c>
      <c r="I457" t="s">
        <v>36</v>
      </c>
      <c r="J457">
        <v>65.97</v>
      </c>
      <c r="K457">
        <v>8</v>
      </c>
      <c r="L457">
        <v>26.388000000000002</v>
      </c>
      <c r="M457">
        <v>554.14800000000002</v>
      </c>
      <c r="N457" s="1">
        <v>43498</v>
      </c>
      <c r="O457" s="2">
        <v>0.85347222222222219</v>
      </c>
      <c r="P457" t="s">
        <v>30</v>
      </c>
      <c r="Q457">
        <v>527.76</v>
      </c>
      <c r="R457">
        <v>4.7619047620000003</v>
      </c>
      <c r="S457">
        <v>26.388000000000002</v>
      </c>
      <c r="T457">
        <v>8.4</v>
      </c>
    </row>
    <row r="458" spans="1:20" x14ac:dyDescent="0.3">
      <c r="A458">
        <v>246</v>
      </c>
      <c r="C458">
        <v>11</v>
      </c>
      <c r="D458">
        <v>3901</v>
      </c>
      <c r="E458" t="s">
        <v>26</v>
      </c>
      <c r="F458" t="s">
        <v>27</v>
      </c>
      <c r="G458" t="s">
        <v>28</v>
      </c>
      <c r="H458" t="s">
        <v>23</v>
      </c>
      <c r="I458" t="s">
        <v>29</v>
      </c>
      <c r="J458">
        <v>32.799999999999997</v>
      </c>
      <c r="K458">
        <v>10</v>
      </c>
      <c r="L458">
        <v>16.399999999999999</v>
      </c>
      <c r="M458">
        <v>344.4</v>
      </c>
      <c r="N458" s="1">
        <v>43511</v>
      </c>
      <c r="O458" s="2">
        <v>0.5083333333333333</v>
      </c>
      <c r="P458" t="s">
        <v>30</v>
      </c>
      <c r="Q458">
        <v>328</v>
      </c>
      <c r="R458">
        <v>4.7619047620000003</v>
      </c>
      <c r="S458">
        <v>16.399999999999999</v>
      </c>
      <c r="T458">
        <v>6.2</v>
      </c>
    </row>
    <row r="459" spans="1:20" x14ac:dyDescent="0.3">
      <c r="A459">
        <v>674</v>
      </c>
      <c r="C459">
        <v>15</v>
      </c>
      <c r="D459">
        <v>9296</v>
      </c>
      <c r="E459" t="s">
        <v>20</v>
      </c>
      <c r="F459" t="s">
        <v>21</v>
      </c>
      <c r="G459" t="s">
        <v>28</v>
      </c>
      <c r="H459" t="s">
        <v>38</v>
      </c>
      <c r="I459" t="s">
        <v>33</v>
      </c>
      <c r="J459">
        <v>37.14</v>
      </c>
      <c r="K459">
        <v>5</v>
      </c>
      <c r="L459">
        <v>9.2850000000000001</v>
      </c>
      <c r="M459">
        <v>194.98500000000001</v>
      </c>
      <c r="N459" s="1">
        <v>43473</v>
      </c>
      <c r="O459" s="2">
        <v>0.54513888888888884</v>
      </c>
      <c r="P459" t="s">
        <v>25</v>
      </c>
      <c r="Q459">
        <v>185.7</v>
      </c>
      <c r="R459">
        <v>4.7619047620000003</v>
      </c>
      <c r="S459">
        <v>9.2850000000000001</v>
      </c>
      <c r="T459">
        <v>5</v>
      </c>
    </row>
    <row r="460" spans="1:20" x14ac:dyDescent="0.3">
      <c r="A460">
        <v>305</v>
      </c>
      <c r="C460">
        <v>18</v>
      </c>
      <c r="D460">
        <v>3552</v>
      </c>
      <c r="E460" t="s">
        <v>34</v>
      </c>
      <c r="F460" t="s">
        <v>35</v>
      </c>
      <c r="G460" t="s">
        <v>22</v>
      </c>
      <c r="H460" t="s">
        <v>38</v>
      </c>
      <c r="I460" t="s">
        <v>31</v>
      </c>
      <c r="J460">
        <v>60.38</v>
      </c>
      <c r="K460">
        <v>10</v>
      </c>
      <c r="L460">
        <v>30.19</v>
      </c>
      <c r="M460">
        <v>633.99</v>
      </c>
      <c r="N460" s="1">
        <v>43508</v>
      </c>
      <c r="O460" s="2">
        <v>0.67986111111111114</v>
      </c>
      <c r="P460" t="s">
        <v>30</v>
      </c>
      <c r="Q460">
        <v>603.79999999999995</v>
      </c>
      <c r="R460">
        <v>4.7619047620000003</v>
      </c>
      <c r="S460">
        <v>30.19</v>
      </c>
      <c r="T460">
        <v>6</v>
      </c>
    </row>
    <row r="461" spans="1:20" x14ac:dyDescent="0.3">
      <c r="A461">
        <v>493</v>
      </c>
      <c r="C461">
        <v>65</v>
      </c>
      <c r="D461">
        <v>6248</v>
      </c>
      <c r="E461" t="s">
        <v>26</v>
      </c>
      <c r="F461" t="s">
        <v>27</v>
      </c>
      <c r="G461" t="s">
        <v>22</v>
      </c>
      <c r="H461" t="s">
        <v>23</v>
      </c>
      <c r="I461" t="s">
        <v>33</v>
      </c>
      <c r="J461">
        <v>36.979999999999997</v>
      </c>
      <c r="K461">
        <v>10</v>
      </c>
      <c r="L461">
        <v>18.489999999999998</v>
      </c>
      <c r="M461">
        <v>388.29</v>
      </c>
      <c r="N461" s="1">
        <v>43466</v>
      </c>
      <c r="O461" s="2">
        <v>0.82499999999999996</v>
      </c>
      <c r="P461" t="s">
        <v>32</v>
      </c>
      <c r="Q461">
        <v>369.8</v>
      </c>
      <c r="R461">
        <v>4.7619047620000003</v>
      </c>
      <c r="S461">
        <v>18.489999999999998</v>
      </c>
      <c r="T461">
        <v>7</v>
      </c>
    </row>
    <row r="462" spans="1:20" x14ac:dyDescent="0.3">
      <c r="A462">
        <v>438</v>
      </c>
      <c r="C462">
        <v>1</v>
      </c>
      <c r="D462">
        <v>4015</v>
      </c>
      <c r="E462" t="s">
        <v>34</v>
      </c>
      <c r="F462" t="s">
        <v>35</v>
      </c>
      <c r="G462" t="s">
        <v>22</v>
      </c>
      <c r="H462" t="s">
        <v>23</v>
      </c>
      <c r="I462" t="s">
        <v>33</v>
      </c>
      <c r="J462">
        <v>49.49</v>
      </c>
      <c r="K462">
        <v>4</v>
      </c>
      <c r="L462">
        <v>9.8979999999999997</v>
      </c>
      <c r="M462">
        <v>207.858</v>
      </c>
      <c r="N462" s="1">
        <v>43545</v>
      </c>
      <c r="O462" s="2">
        <v>0.64236111111111116</v>
      </c>
      <c r="P462" t="s">
        <v>25</v>
      </c>
      <c r="Q462">
        <v>197.96</v>
      </c>
      <c r="R462">
        <v>4.7619047620000003</v>
      </c>
      <c r="S462">
        <v>9.8979999999999997</v>
      </c>
      <c r="T462">
        <v>6.6</v>
      </c>
    </row>
    <row r="463" spans="1:20" x14ac:dyDescent="0.3">
      <c r="A463">
        <v>709</v>
      </c>
      <c r="C463">
        <v>58</v>
      </c>
      <c r="D463">
        <v>4068</v>
      </c>
      <c r="E463" t="s">
        <v>34</v>
      </c>
      <c r="F463" t="s">
        <v>35</v>
      </c>
      <c r="G463" t="s">
        <v>28</v>
      </c>
      <c r="H463" t="s">
        <v>23</v>
      </c>
      <c r="I463" t="s">
        <v>37</v>
      </c>
      <c r="J463">
        <v>41.09</v>
      </c>
      <c r="K463">
        <v>10</v>
      </c>
      <c r="L463">
        <v>20.545000000000002</v>
      </c>
      <c r="M463">
        <v>431.44499999999999</v>
      </c>
      <c r="N463" s="1">
        <v>43524</v>
      </c>
      <c r="O463" s="2">
        <v>0.61250000000000004</v>
      </c>
      <c r="P463" t="s">
        <v>30</v>
      </c>
      <c r="Q463">
        <v>410.9</v>
      </c>
      <c r="R463">
        <v>4.7619047620000003</v>
      </c>
      <c r="S463">
        <v>20.545000000000002</v>
      </c>
      <c r="T463">
        <v>7.3</v>
      </c>
    </row>
    <row r="464" spans="1:20" x14ac:dyDescent="0.3">
      <c r="A464">
        <v>795</v>
      </c>
      <c r="C464">
        <v>49</v>
      </c>
      <c r="D464">
        <v>7276</v>
      </c>
      <c r="E464" t="s">
        <v>20</v>
      </c>
      <c r="F464" t="s">
        <v>21</v>
      </c>
      <c r="G464" t="s">
        <v>28</v>
      </c>
      <c r="H464" t="s">
        <v>38</v>
      </c>
      <c r="I464" t="s">
        <v>37</v>
      </c>
      <c r="J464">
        <v>37.15</v>
      </c>
      <c r="K464">
        <v>4</v>
      </c>
      <c r="L464">
        <v>7.43</v>
      </c>
      <c r="M464">
        <v>156.03</v>
      </c>
      <c r="N464" s="1">
        <v>43547</v>
      </c>
      <c r="O464" s="2">
        <v>0.79097222222222219</v>
      </c>
      <c r="P464" t="s">
        <v>25</v>
      </c>
      <c r="Q464">
        <v>148.6</v>
      </c>
      <c r="R464">
        <v>4.7619047620000003</v>
      </c>
      <c r="S464">
        <v>7.43</v>
      </c>
      <c r="T464">
        <v>8.3000000000000007</v>
      </c>
    </row>
    <row r="465" spans="1:20" x14ac:dyDescent="0.3">
      <c r="A465">
        <v>556</v>
      </c>
      <c r="C465">
        <v>72</v>
      </c>
      <c r="D465">
        <v>8512</v>
      </c>
      <c r="E465" t="s">
        <v>26</v>
      </c>
      <c r="F465" t="s">
        <v>27</v>
      </c>
      <c r="G465" t="s">
        <v>28</v>
      </c>
      <c r="H465" t="s">
        <v>38</v>
      </c>
      <c r="I465" t="s">
        <v>31</v>
      </c>
      <c r="J465">
        <v>22.96</v>
      </c>
      <c r="K465">
        <v>1</v>
      </c>
      <c r="L465">
        <v>1.1479999999999999</v>
      </c>
      <c r="M465">
        <v>24.108000000000001</v>
      </c>
      <c r="N465" s="1">
        <v>43495</v>
      </c>
      <c r="O465" s="2">
        <v>0.86597222222222225</v>
      </c>
      <c r="P465" t="s">
        <v>30</v>
      </c>
      <c r="Q465">
        <v>22.96</v>
      </c>
      <c r="R465">
        <v>4.7619047620000003</v>
      </c>
      <c r="S465">
        <v>1.1479999999999999</v>
      </c>
      <c r="T465">
        <v>4.3</v>
      </c>
    </row>
    <row r="466" spans="1:20" x14ac:dyDescent="0.3">
      <c r="A466">
        <v>627</v>
      </c>
      <c r="C466">
        <v>95</v>
      </c>
      <c r="D466">
        <v>3243</v>
      </c>
      <c r="E466" t="s">
        <v>34</v>
      </c>
      <c r="F466" t="s">
        <v>35</v>
      </c>
      <c r="G466" t="s">
        <v>22</v>
      </c>
      <c r="H466" t="s">
        <v>23</v>
      </c>
      <c r="I466" t="s">
        <v>31</v>
      </c>
      <c r="J466">
        <v>77.680000000000007</v>
      </c>
      <c r="K466">
        <v>9</v>
      </c>
      <c r="L466">
        <v>34.956000000000003</v>
      </c>
      <c r="M466">
        <v>734.07600000000002</v>
      </c>
      <c r="N466" s="1">
        <v>43500</v>
      </c>
      <c r="O466" s="2">
        <v>0.55625000000000002</v>
      </c>
      <c r="P466" t="s">
        <v>25</v>
      </c>
      <c r="Q466">
        <v>699.12</v>
      </c>
      <c r="R466">
        <v>4.7619047620000003</v>
      </c>
      <c r="S466">
        <v>34.956000000000003</v>
      </c>
      <c r="T466">
        <v>9.8000000000000007</v>
      </c>
    </row>
    <row r="467" spans="1:20" x14ac:dyDescent="0.3">
      <c r="A467">
        <v>686</v>
      </c>
      <c r="C467">
        <v>41</v>
      </c>
      <c r="D467">
        <v>932</v>
      </c>
      <c r="E467" t="s">
        <v>34</v>
      </c>
      <c r="F467" t="s">
        <v>35</v>
      </c>
      <c r="G467" t="s">
        <v>28</v>
      </c>
      <c r="H467" t="s">
        <v>23</v>
      </c>
      <c r="I467" t="s">
        <v>37</v>
      </c>
      <c r="J467">
        <v>34.700000000000003</v>
      </c>
      <c r="K467">
        <v>2</v>
      </c>
      <c r="L467">
        <v>3.47</v>
      </c>
      <c r="M467">
        <v>72.87</v>
      </c>
      <c r="N467" s="1">
        <v>43537</v>
      </c>
      <c r="O467" s="2">
        <v>0.82499999999999996</v>
      </c>
      <c r="P467" t="s">
        <v>25</v>
      </c>
      <c r="Q467">
        <v>69.400000000000006</v>
      </c>
      <c r="R467">
        <v>4.7619047620000003</v>
      </c>
      <c r="S467">
        <v>3.47</v>
      </c>
      <c r="T467">
        <v>8.1999999999999993</v>
      </c>
    </row>
    <row r="468" spans="1:20" x14ac:dyDescent="0.3">
      <c r="A468">
        <v>510</v>
      </c>
      <c r="C468">
        <v>9</v>
      </c>
      <c r="D468">
        <v>5628</v>
      </c>
      <c r="E468" t="s">
        <v>20</v>
      </c>
      <c r="F468" t="s">
        <v>21</v>
      </c>
      <c r="G468" t="s">
        <v>22</v>
      </c>
      <c r="H468" t="s">
        <v>23</v>
      </c>
      <c r="I468" t="s">
        <v>37</v>
      </c>
      <c r="J468">
        <v>19.66</v>
      </c>
      <c r="K468">
        <v>10</v>
      </c>
      <c r="L468">
        <v>9.83</v>
      </c>
      <c r="M468">
        <v>206.43</v>
      </c>
      <c r="N468" s="1">
        <v>43539</v>
      </c>
      <c r="O468" s="2">
        <v>0.76388888888888884</v>
      </c>
      <c r="P468" t="s">
        <v>32</v>
      </c>
      <c r="Q468">
        <v>196.6</v>
      </c>
      <c r="R468">
        <v>4.7619047620000003</v>
      </c>
      <c r="S468">
        <v>9.83</v>
      </c>
      <c r="T468">
        <v>7.2</v>
      </c>
    </row>
    <row r="469" spans="1:20" x14ac:dyDescent="0.3">
      <c r="A469">
        <v>608</v>
      </c>
      <c r="C469">
        <v>4</v>
      </c>
      <c r="D469">
        <v>3797</v>
      </c>
      <c r="E469" t="s">
        <v>34</v>
      </c>
      <c r="F469" t="s">
        <v>35</v>
      </c>
      <c r="G469" t="s">
        <v>22</v>
      </c>
      <c r="H469" t="s">
        <v>23</v>
      </c>
      <c r="I469" t="s">
        <v>24</v>
      </c>
      <c r="J469">
        <v>25.32</v>
      </c>
      <c r="K469">
        <v>8</v>
      </c>
      <c r="L469">
        <v>10.128</v>
      </c>
      <c r="M469">
        <v>212.68799999999999</v>
      </c>
      <c r="N469" s="1">
        <v>43529</v>
      </c>
      <c r="O469" s="2">
        <v>0.85</v>
      </c>
      <c r="P469" t="s">
        <v>25</v>
      </c>
      <c r="Q469">
        <v>202.56</v>
      </c>
      <c r="R469">
        <v>4.7619047620000003</v>
      </c>
      <c r="S469">
        <v>10.128</v>
      </c>
      <c r="T469">
        <v>8.6999999999999993</v>
      </c>
    </row>
    <row r="470" spans="1:20" x14ac:dyDescent="0.3">
      <c r="A470">
        <v>148</v>
      </c>
      <c r="C470">
        <v>82</v>
      </c>
      <c r="D470">
        <v>2527</v>
      </c>
      <c r="E470" t="s">
        <v>26</v>
      </c>
      <c r="F470" t="s">
        <v>27</v>
      </c>
      <c r="G470" t="s">
        <v>22</v>
      </c>
      <c r="H470" t="s">
        <v>23</v>
      </c>
      <c r="I470" t="s">
        <v>31</v>
      </c>
      <c r="J470">
        <v>12.12</v>
      </c>
      <c r="K470">
        <v>10</v>
      </c>
      <c r="L470">
        <v>6.06</v>
      </c>
      <c r="M470">
        <v>127.26</v>
      </c>
      <c r="N470" s="1">
        <v>43529</v>
      </c>
      <c r="O470" s="2">
        <v>0.57222222222222219</v>
      </c>
      <c r="P470" t="s">
        <v>32</v>
      </c>
      <c r="Q470">
        <v>121.2</v>
      </c>
      <c r="R470">
        <v>4.7619047620000003</v>
      </c>
      <c r="S470">
        <v>6.06</v>
      </c>
      <c r="T470">
        <v>8.4</v>
      </c>
    </row>
    <row r="471" spans="1:20" x14ac:dyDescent="0.3">
      <c r="A471">
        <v>437</v>
      </c>
      <c r="C471">
        <v>53</v>
      </c>
      <c r="D471">
        <v>3084</v>
      </c>
      <c r="E471" t="s">
        <v>34</v>
      </c>
      <c r="F471" t="s">
        <v>35</v>
      </c>
      <c r="G471" t="s">
        <v>28</v>
      </c>
      <c r="H471" t="s">
        <v>38</v>
      </c>
      <c r="I471" t="s">
        <v>37</v>
      </c>
      <c r="J471">
        <v>99.89</v>
      </c>
      <c r="K471">
        <v>2</v>
      </c>
      <c r="L471">
        <v>9.9890000000000008</v>
      </c>
      <c r="M471">
        <v>209.76900000000001</v>
      </c>
      <c r="N471" s="1">
        <v>43522</v>
      </c>
      <c r="O471" s="2">
        <v>0.49166666666666664</v>
      </c>
      <c r="P471" t="s">
        <v>25</v>
      </c>
      <c r="Q471">
        <v>199.78</v>
      </c>
      <c r="R471">
        <v>4.7619047620000003</v>
      </c>
      <c r="S471">
        <v>9.9890000000000008</v>
      </c>
      <c r="T471">
        <v>7.1</v>
      </c>
    </row>
    <row r="472" spans="1:20" x14ac:dyDescent="0.3">
      <c r="A472">
        <v>632</v>
      </c>
      <c r="C472">
        <v>32</v>
      </c>
      <c r="D472">
        <v>4574</v>
      </c>
      <c r="E472" t="s">
        <v>34</v>
      </c>
      <c r="F472" t="s">
        <v>35</v>
      </c>
      <c r="G472" t="s">
        <v>28</v>
      </c>
      <c r="H472" t="s">
        <v>38</v>
      </c>
      <c r="I472" t="s">
        <v>33</v>
      </c>
      <c r="J472">
        <v>75.92</v>
      </c>
      <c r="K472">
        <v>8</v>
      </c>
      <c r="L472">
        <v>30.367999999999999</v>
      </c>
      <c r="M472">
        <v>637.72799999999995</v>
      </c>
      <c r="N472" s="1">
        <v>43544</v>
      </c>
      <c r="O472" s="2">
        <v>0.59305555555555556</v>
      </c>
      <c r="P472" t="s">
        <v>30</v>
      </c>
      <c r="Q472">
        <v>607.36</v>
      </c>
      <c r="R472">
        <v>4.7619047620000003</v>
      </c>
      <c r="S472">
        <v>30.367999999999999</v>
      </c>
      <c r="T472">
        <v>5.5</v>
      </c>
    </row>
    <row r="473" spans="1:20" x14ac:dyDescent="0.3">
      <c r="A473">
        <v>556</v>
      </c>
      <c r="C473">
        <v>97</v>
      </c>
      <c r="D473">
        <v>7101</v>
      </c>
      <c r="E473" t="s">
        <v>26</v>
      </c>
      <c r="F473" t="s">
        <v>27</v>
      </c>
      <c r="G473" t="s">
        <v>28</v>
      </c>
      <c r="H473" t="s">
        <v>23</v>
      </c>
      <c r="I473" t="s">
        <v>29</v>
      </c>
      <c r="J473">
        <v>63.22</v>
      </c>
      <c r="K473">
        <v>2</v>
      </c>
      <c r="L473">
        <v>6.3220000000000001</v>
      </c>
      <c r="M473">
        <v>132.762</v>
      </c>
      <c r="N473" s="1">
        <v>43466</v>
      </c>
      <c r="O473" s="2">
        <v>0.66041666666666665</v>
      </c>
      <c r="P473" t="s">
        <v>30</v>
      </c>
      <c r="Q473">
        <v>126.44</v>
      </c>
      <c r="R473">
        <v>4.7619047620000003</v>
      </c>
      <c r="S473">
        <v>6.3220000000000001</v>
      </c>
      <c r="T473">
        <v>8.5</v>
      </c>
    </row>
    <row r="474" spans="1:20" x14ac:dyDescent="0.3">
      <c r="A474">
        <v>862</v>
      </c>
      <c r="C474">
        <v>59</v>
      </c>
      <c r="D474">
        <v>8517</v>
      </c>
      <c r="E474" t="s">
        <v>26</v>
      </c>
      <c r="F474" t="s">
        <v>27</v>
      </c>
      <c r="G474" t="s">
        <v>28</v>
      </c>
      <c r="H474" t="s">
        <v>23</v>
      </c>
      <c r="I474" t="s">
        <v>36</v>
      </c>
      <c r="J474">
        <v>90.24</v>
      </c>
      <c r="K474">
        <v>6</v>
      </c>
      <c r="L474">
        <v>27.071999999999999</v>
      </c>
      <c r="M474">
        <v>568.51199999999994</v>
      </c>
      <c r="N474" s="1">
        <v>43492</v>
      </c>
      <c r="O474" s="2">
        <v>0.47013888888888888</v>
      </c>
      <c r="P474" t="s">
        <v>30</v>
      </c>
      <c r="Q474">
        <v>541.44000000000005</v>
      </c>
      <c r="R474">
        <v>4.7619047620000003</v>
      </c>
      <c r="S474">
        <v>27.071999999999999</v>
      </c>
      <c r="T474">
        <v>6.2</v>
      </c>
    </row>
    <row r="475" spans="1:20" x14ac:dyDescent="0.3">
      <c r="A475">
        <v>401</v>
      </c>
      <c r="C475">
        <v>18</v>
      </c>
      <c r="D475">
        <v>8016</v>
      </c>
      <c r="E475" t="s">
        <v>34</v>
      </c>
      <c r="F475" t="s">
        <v>35</v>
      </c>
      <c r="G475" t="s">
        <v>22</v>
      </c>
      <c r="H475" t="s">
        <v>23</v>
      </c>
      <c r="I475" t="s">
        <v>33</v>
      </c>
      <c r="J475">
        <v>98.13</v>
      </c>
      <c r="K475">
        <v>1</v>
      </c>
      <c r="L475">
        <v>4.9065000000000003</v>
      </c>
      <c r="M475">
        <v>103.0365</v>
      </c>
      <c r="N475" s="1">
        <v>43486</v>
      </c>
      <c r="O475" s="2">
        <v>0.73333333333333328</v>
      </c>
      <c r="P475" t="s">
        <v>30</v>
      </c>
      <c r="Q475">
        <v>98.13</v>
      </c>
      <c r="R475">
        <v>4.7619047620000003</v>
      </c>
      <c r="S475">
        <v>4.9065000000000003</v>
      </c>
      <c r="T475">
        <v>8.9</v>
      </c>
    </row>
    <row r="476" spans="1:20" x14ac:dyDescent="0.3">
      <c r="A476">
        <v>420</v>
      </c>
      <c r="C476">
        <v>18</v>
      </c>
      <c r="D476">
        <v>8989</v>
      </c>
      <c r="E476" t="s">
        <v>20</v>
      </c>
      <c r="F476" t="s">
        <v>21</v>
      </c>
      <c r="G476" t="s">
        <v>22</v>
      </c>
      <c r="H476" t="s">
        <v>23</v>
      </c>
      <c r="I476" t="s">
        <v>33</v>
      </c>
      <c r="J476">
        <v>51.52</v>
      </c>
      <c r="K476">
        <v>8</v>
      </c>
      <c r="L476">
        <v>20.608000000000001</v>
      </c>
      <c r="M476">
        <v>432.76799999999997</v>
      </c>
      <c r="N476" s="1">
        <v>43498</v>
      </c>
      <c r="O476" s="2">
        <v>0.65763888888888888</v>
      </c>
      <c r="P476" t="s">
        <v>30</v>
      </c>
      <c r="Q476">
        <v>412.16</v>
      </c>
      <c r="R476">
        <v>4.7619047620000003</v>
      </c>
      <c r="S476">
        <v>20.608000000000001</v>
      </c>
      <c r="T476">
        <v>9.6</v>
      </c>
    </row>
    <row r="477" spans="1:20" x14ac:dyDescent="0.3">
      <c r="A477">
        <v>277</v>
      </c>
      <c r="C477">
        <v>63</v>
      </c>
      <c r="D477">
        <v>2961</v>
      </c>
      <c r="E477" t="s">
        <v>34</v>
      </c>
      <c r="F477" t="s">
        <v>35</v>
      </c>
      <c r="G477" t="s">
        <v>22</v>
      </c>
      <c r="H477" t="s">
        <v>38</v>
      </c>
      <c r="I477" t="s">
        <v>33</v>
      </c>
      <c r="J477">
        <v>73.97</v>
      </c>
      <c r="K477">
        <v>1</v>
      </c>
      <c r="L477">
        <v>3.6985000000000001</v>
      </c>
      <c r="M477">
        <v>77.668499999999995</v>
      </c>
      <c r="N477" s="1">
        <v>43499</v>
      </c>
      <c r="O477" s="2">
        <v>0.66180555555555554</v>
      </c>
      <c r="P477" t="s">
        <v>32</v>
      </c>
      <c r="Q477">
        <v>73.97</v>
      </c>
      <c r="R477">
        <v>4.7619047620000003</v>
      </c>
      <c r="S477">
        <v>3.6985000000000001</v>
      </c>
      <c r="T477">
        <v>5.4</v>
      </c>
    </row>
    <row r="478" spans="1:20" x14ac:dyDescent="0.3">
      <c r="A478">
        <v>573</v>
      </c>
      <c r="C478">
        <v>98</v>
      </c>
      <c r="D478">
        <v>8548</v>
      </c>
      <c r="E478" t="s">
        <v>26</v>
      </c>
      <c r="F478" t="s">
        <v>27</v>
      </c>
      <c r="G478" t="s">
        <v>22</v>
      </c>
      <c r="H478" t="s">
        <v>23</v>
      </c>
      <c r="I478" t="s">
        <v>37</v>
      </c>
      <c r="J478">
        <v>31.9</v>
      </c>
      <c r="K478">
        <v>1</v>
      </c>
      <c r="L478">
        <v>1.595</v>
      </c>
      <c r="M478">
        <v>33.494999999999997</v>
      </c>
      <c r="N478" s="1">
        <v>43470</v>
      </c>
      <c r="O478" s="2">
        <v>0.52777777777777779</v>
      </c>
      <c r="P478" t="s">
        <v>25</v>
      </c>
      <c r="Q478">
        <v>31.9</v>
      </c>
      <c r="R478">
        <v>4.7619047620000003</v>
      </c>
      <c r="S478">
        <v>1.595</v>
      </c>
      <c r="T478">
        <v>9.1</v>
      </c>
    </row>
    <row r="479" spans="1:20" x14ac:dyDescent="0.3">
      <c r="A479">
        <v>620</v>
      </c>
      <c r="C479">
        <v>2</v>
      </c>
      <c r="D479">
        <v>2046</v>
      </c>
      <c r="E479" t="s">
        <v>26</v>
      </c>
      <c r="F479" t="s">
        <v>27</v>
      </c>
      <c r="G479" t="s">
        <v>28</v>
      </c>
      <c r="H479" t="s">
        <v>38</v>
      </c>
      <c r="I479" t="s">
        <v>31</v>
      </c>
      <c r="J479">
        <v>69.400000000000006</v>
      </c>
      <c r="K479">
        <v>2</v>
      </c>
      <c r="L479">
        <v>6.94</v>
      </c>
      <c r="M479">
        <v>145.74</v>
      </c>
      <c r="N479" s="1">
        <v>43492</v>
      </c>
      <c r="O479" s="2">
        <v>0.82499999999999996</v>
      </c>
      <c r="P479" t="s">
        <v>25</v>
      </c>
      <c r="Q479">
        <v>138.80000000000001</v>
      </c>
      <c r="R479">
        <v>4.7619047620000003</v>
      </c>
      <c r="S479">
        <v>6.94</v>
      </c>
      <c r="T479">
        <v>9</v>
      </c>
    </row>
    <row r="480" spans="1:20" x14ac:dyDescent="0.3">
      <c r="A480">
        <v>282</v>
      </c>
      <c r="C480">
        <v>35</v>
      </c>
      <c r="D480">
        <v>2475</v>
      </c>
      <c r="E480" t="s">
        <v>34</v>
      </c>
      <c r="F480" t="s">
        <v>35</v>
      </c>
      <c r="G480" t="s">
        <v>28</v>
      </c>
      <c r="H480" t="s">
        <v>23</v>
      </c>
      <c r="I480" t="s">
        <v>33</v>
      </c>
      <c r="J480">
        <v>93.31</v>
      </c>
      <c r="K480">
        <v>2</v>
      </c>
      <c r="L480">
        <v>9.3309999999999995</v>
      </c>
      <c r="M480">
        <v>195.95099999999999</v>
      </c>
      <c r="N480" s="1">
        <v>43549</v>
      </c>
      <c r="O480" s="2">
        <v>0.74513888888888891</v>
      </c>
      <c r="P480" t="s">
        <v>30</v>
      </c>
      <c r="Q480">
        <v>186.62</v>
      </c>
      <c r="R480">
        <v>4.7619047620000003</v>
      </c>
      <c r="S480">
        <v>9.3309999999999995</v>
      </c>
      <c r="T480">
        <v>6.3</v>
      </c>
    </row>
    <row r="481" spans="1:20" x14ac:dyDescent="0.3">
      <c r="A481">
        <v>511</v>
      </c>
      <c r="C481">
        <v>54</v>
      </c>
      <c r="D481">
        <v>3087</v>
      </c>
      <c r="E481" t="s">
        <v>34</v>
      </c>
      <c r="F481" t="s">
        <v>35</v>
      </c>
      <c r="G481" t="s">
        <v>28</v>
      </c>
      <c r="H481" t="s">
        <v>38</v>
      </c>
      <c r="I481" t="s">
        <v>33</v>
      </c>
      <c r="J481">
        <v>88.45</v>
      </c>
      <c r="K481">
        <v>1</v>
      </c>
      <c r="L481">
        <v>4.4225000000000003</v>
      </c>
      <c r="M481">
        <v>92.872500000000002</v>
      </c>
      <c r="N481" s="1">
        <v>43521</v>
      </c>
      <c r="O481" s="2">
        <v>0.69166666666666665</v>
      </c>
      <c r="P481" t="s">
        <v>32</v>
      </c>
      <c r="Q481">
        <v>88.45</v>
      </c>
      <c r="R481">
        <v>4.7619047620000003</v>
      </c>
      <c r="S481">
        <v>4.4225000000000003</v>
      </c>
      <c r="T481">
        <v>9.5</v>
      </c>
    </row>
    <row r="482" spans="1:20" x14ac:dyDescent="0.3">
      <c r="A482">
        <v>726</v>
      </c>
      <c r="C482">
        <v>29</v>
      </c>
      <c r="D482">
        <v>6793</v>
      </c>
      <c r="E482" t="s">
        <v>20</v>
      </c>
      <c r="F482" t="s">
        <v>21</v>
      </c>
      <c r="G482" t="s">
        <v>22</v>
      </c>
      <c r="H482" t="s">
        <v>38</v>
      </c>
      <c r="I482" t="s">
        <v>29</v>
      </c>
      <c r="J482">
        <v>24.18</v>
      </c>
      <c r="K482">
        <v>8</v>
      </c>
      <c r="L482">
        <v>9.6720000000000006</v>
      </c>
      <c r="M482">
        <v>203.11199999999999</v>
      </c>
      <c r="N482" s="1">
        <v>43493</v>
      </c>
      <c r="O482" s="2">
        <v>0.87083333333333335</v>
      </c>
      <c r="P482" t="s">
        <v>25</v>
      </c>
      <c r="Q482">
        <v>193.44</v>
      </c>
      <c r="R482">
        <v>4.7619047620000003</v>
      </c>
      <c r="S482">
        <v>9.6720000000000006</v>
      </c>
      <c r="T482">
        <v>9.8000000000000007</v>
      </c>
    </row>
    <row r="483" spans="1:20" x14ac:dyDescent="0.3">
      <c r="A483">
        <v>387</v>
      </c>
      <c r="C483">
        <v>49</v>
      </c>
      <c r="D483">
        <v>4215</v>
      </c>
      <c r="E483" t="s">
        <v>34</v>
      </c>
      <c r="F483" t="s">
        <v>35</v>
      </c>
      <c r="G483" t="s">
        <v>22</v>
      </c>
      <c r="H483" t="s">
        <v>23</v>
      </c>
      <c r="I483" t="s">
        <v>33</v>
      </c>
      <c r="J483">
        <v>48.5</v>
      </c>
      <c r="K483">
        <v>3</v>
      </c>
      <c r="L483">
        <v>7.2750000000000004</v>
      </c>
      <c r="M483">
        <v>152.77500000000001</v>
      </c>
      <c r="N483" s="1">
        <v>43473</v>
      </c>
      <c r="O483" s="2">
        <v>0.53472222222222221</v>
      </c>
      <c r="P483" t="s">
        <v>30</v>
      </c>
      <c r="Q483">
        <v>145.5</v>
      </c>
      <c r="R483">
        <v>4.7619047620000003</v>
      </c>
      <c r="S483">
        <v>7.2750000000000004</v>
      </c>
      <c r="T483">
        <v>6.7</v>
      </c>
    </row>
    <row r="484" spans="1:20" x14ac:dyDescent="0.3">
      <c r="A484">
        <v>862</v>
      </c>
      <c r="C484">
        <v>17</v>
      </c>
      <c r="D484">
        <v>9201</v>
      </c>
      <c r="E484" t="s">
        <v>34</v>
      </c>
      <c r="F484" t="s">
        <v>35</v>
      </c>
      <c r="G484" t="s">
        <v>28</v>
      </c>
      <c r="H484" t="s">
        <v>23</v>
      </c>
      <c r="I484" t="s">
        <v>36</v>
      </c>
      <c r="J484">
        <v>84.05</v>
      </c>
      <c r="K484">
        <v>6</v>
      </c>
      <c r="L484">
        <v>25.215</v>
      </c>
      <c r="M484">
        <v>529.51499999999999</v>
      </c>
      <c r="N484" s="1">
        <v>43494</v>
      </c>
      <c r="O484" s="2">
        <v>0.45</v>
      </c>
      <c r="P484" t="s">
        <v>32</v>
      </c>
      <c r="Q484">
        <v>504.3</v>
      </c>
      <c r="R484">
        <v>4.7619047620000003</v>
      </c>
      <c r="S484">
        <v>25.215</v>
      </c>
      <c r="T484">
        <v>7.7</v>
      </c>
    </row>
    <row r="485" spans="1:20" x14ac:dyDescent="0.3">
      <c r="A485">
        <v>291</v>
      </c>
      <c r="C485">
        <v>21</v>
      </c>
      <c r="D485">
        <v>5991</v>
      </c>
      <c r="E485" t="s">
        <v>34</v>
      </c>
      <c r="F485" t="s">
        <v>35</v>
      </c>
      <c r="G485" t="s">
        <v>22</v>
      </c>
      <c r="H485" t="s">
        <v>38</v>
      </c>
      <c r="I485" t="s">
        <v>24</v>
      </c>
      <c r="J485">
        <v>61.29</v>
      </c>
      <c r="K485">
        <v>5</v>
      </c>
      <c r="L485">
        <v>15.3225</v>
      </c>
      <c r="M485">
        <v>321.77249999999998</v>
      </c>
      <c r="N485" s="1">
        <v>43553</v>
      </c>
      <c r="O485" s="2">
        <v>0.60277777777777775</v>
      </c>
      <c r="P485" t="s">
        <v>30</v>
      </c>
      <c r="Q485">
        <v>306.45</v>
      </c>
      <c r="R485">
        <v>4.7619047620000003</v>
      </c>
      <c r="S485">
        <v>15.3225</v>
      </c>
      <c r="T485">
        <v>7</v>
      </c>
    </row>
    <row r="486" spans="1:20" x14ac:dyDescent="0.3">
      <c r="A486">
        <v>602</v>
      </c>
      <c r="C486">
        <v>80</v>
      </c>
      <c r="D486">
        <v>9671</v>
      </c>
      <c r="E486" t="s">
        <v>26</v>
      </c>
      <c r="F486" t="s">
        <v>27</v>
      </c>
      <c r="G486" t="s">
        <v>22</v>
      </c>
      <c r="H486" t="s">
        <v>23</v>
      </c>
      <c r="I486" t="s">
        <v>31</v>
      </c>
      <c r="J486">
        <v>15.95</v>
      </c>
      <c r="K486">
        <v>6</v>
      </c>
      <c r="L486">
        <v>4.7850000000000001</v>
      </c>
      <c r="M486">
        <v>100.485</v>
      </c>
      <c r="N486" s="1">
        <v>43505</v>
      </c>
      <c r="O486" s="2">
        <v>0.71875</v>
      </c>
      <c r="P486" t="s">
        <v>32</v>
      </c>
      <c r="Q486">
        <v>95.7</v>
      </c>
      <c r="R486">
        <v>4.7619047620000003</v>
      </c>
      <c r="S486">
        <v>4.7850000000000001</v>
      </c>
      <c r="T486">
        <v>5.0999999999999996</v>
      </c>
    </row>
    <row r="487" spans="1:20" x14ac:dyDescent="0.3">
      <c r="A487">
        <v>347</v>
      </c>
      <c r="C487">
        <v>72</v>
      </c>
      <c r="D487">
        <v>6115</v>
      </c>
      <c r="E487" t="s">
        <v>34</v>
      </c>
      <c r="F487" t="s">
        <v>35</v>
      </c>
      <c r="G487" t="s">
        <v>22</v>
      </c>
      <c r="H487" t="s">
        <v>23</v>
      </c>
      <c r="I487" t="s">
        <v>33</v>
      </c>
      <c r="J487">
        <v>90.74</v>
      </c>
      <c r="K487">
        <v>7</v>
      </c>
      <c r="L487">
        <v>31.759</v>
      </c>
      <c r="M487">
        <v>666.93899999999996</v>
      </c>
      <c r="N487" s="1">
        <v>43481</v>
      </c>
      <c r="O487" s="2">
        <v>0.75208333333333333</v>
      </c>
      <c r="P487" t="s">
        <v>32</v>
      </c>
      <c r="Q487">
        <v>635.17999999999995</v>
      </c>
      <c r="R487">
        <v>4.7619047620000003</v>
      </c>
      <c r="S487">
        <v>31.759</v>
      </c>
      <c r="T487">
        <v>6.2</v>
      </c>
    </row>
    <row r="488" spans="1:20" x14ac:dyDescent="0.3">
      <c r="A488">
        <v>209</v>
      </c>
      <c r="C488">
        <v>61</v>
      </c>
      <c r="D488">
        <v>206</v>
      </c>
      <c r="E488" t="s">
        <v>20</v>
      </c>
      <c r="F488" t="s">
        <v>21</v>
      </c>
      <c r="G488" t="s">
        <v>28</v>
      </c>
      <c r="H488" t="s">
        <v>23</v>
      </c>
      <c r="I488" t="s">
        <v>31</v>
      </c>
      <c r="J488">
        <v>42.91</v>
      </c>
      <c r="K488">
        <v>5</v>
      </c>
      <c r="L488">
        <v>10.727499999999999</v>
      </c>
      <c r="M488">
        <v>225.2775</v>
      </c>
      <c r="N488" s="1">
        <v>43470</v>
      </c>
      <c r="O488" s="2">
        <v>0.72847222222222219</v>
      </c>
      <c r="P488" t="s">
        <v>25</v>
      </c>
      <c r="Q488">
        <v>214.55</v>
      </c>
      <c r="R488">
        <v>4.7619047620000003</v>
      </c>
      <c r="S488">
        <v>10.727499999999999</v>
      </c>
      <c r="T488">
        <v>6.1</v>
      </c>
    </row>
    <row r="489" spans="1:20" x14ac:dyDescent="0.3">
      <c r="A489">
        <v>595</v>
      </c>
      <c r="C489">
        <v>27</v>
      </c>
      <c r="D489">
        <v>4851</v>
      </c>
      <c r="E489" t="s">
        <v>20</v>
      </c>
      <c r="F489" t="s">
        <v>21</v>
      </c>
      <c r="G489" t="s">
        <v>28</v>
      </c>
      <c r="H489" t="s">
        <v>23</v>
      </c>
      <c r="I489" t="s">
        <v>37</v>
      </c>
      <c r="J489">
        <v>54.28</v>
      </c>
      <c r="K489">
        <v>7</v>
      </c>
      <c r="L489">
        <v>18.998000000000001</v>
      </c>
      <c r="M489">
        <v>398.95800000000003</v>
      </c>
      <c r="N489" s="1">
        <v>43492</v>
      </c>
      <c r="O489" s="2">
        <v>0.75347222222222221</v>
      </c>
      <c r="P489" t="s">
        <v>25</v>
      </c>
      <c r="Q489">
        <v>379.96</v>
      </c>
      <c r="R489">
        <v>4.7619047620000003</v>
      </c>
      <c r="S489">
        <v>18.998000000000001</v>
      </c>
      <c r="T489">
        <v>9.3000000000000007</v>
      </c>
    </row>
    <row r="490" spans="1:20" x14ac:dyDescent="0.3">
      <c r="A490">
        <v>189</v>
      </c>
      <c r="C490">
        <v>52</v>
      </c>
      <c r="D490">
        <v>236</v>
      </c>
      <c r="E490" t="s">
        <v>20</v>
      </c>
      <c r="F490" t="s">
        <v>21</v>
      </c>
      <c r="G490" t="s">
        <v>28</v>
      </c>
      <c r="H490" t="s">
        <v>38</v>
      </c>
      <c r="I490" t="s">
        <v>29</v>
      </c>
      <c r="J490">
        <v>99.55</v>
      </c>
      <c r="K490">
        <v>7</v>
      </c>
      <c r="L490">
        <v>34.842500000000001</v>
      </c>
      <c r="M490">
        <v>731.6925</v>
      </c>
      <c r="N490" s="1">
        <v>43538</v>
      </c>
      <c r="O490" s="2">
        <v>0.50486111111111109</v>
      </c>
      <c r="P490" t="s">
        <v>30</v>
      </c>
      <c r="Q490">
        <v>696.85</v>
      </c>
      <c r="R490">
        <v>4.7619047620000003</v>
      </c>
      <c r="S490">
        <v>34.842500000000001</v>
      </c>
      <c r="T490">
        <v>7.6</v>
      </c>
    </row>
    <row r="491" spans="1:20" x14ac:dyDescent="0.3">
      <c r="A491">
        <v>503</v>
      </c>
      <c r="C491">
        <v>7</v>
      </c>
      <c r="D491">
        <v>930</v>
      </c>
      <c r="E491" t="s">
        <v>26</v>
      </c>
      <c r="F491" t="s">
        <v>27</v>
      </c>
      <c r="G491" t="s">
        <v>22</v>
      </c>
      <c r="H491" t="s">
        <v>38</v>
      </c>
      <c r="I491" t="s">
        <v>33</v>
      </c>
      <c r="J491">
        <v>58.39</v>
      </c>
      <c r="K491">
        <v>7</v>
      </c>
      <c r="L491">
        <v>20.436499999999999</v>
      </c>
      <c r="M491">
        <v>429.16649999999998</v>
      </c>
      <c r="N491" s="1">
        <v>43519</v>
      </c>
      <c r="O491" s="2">
        <v>0.8256944444444444</v>
      </c>
      <c r="P491" t="s">
        <v>32</v>
      </c>
      <c r="Q491">
        <v>408.73</v>
      </c>
      <c r="R491">
        <v>4.7619047620000003</v>
      </c>
      <c r="S491">
        <v>20.436499999999999</v>
      </c>
      <c r="T491">
        <v>8.1999999999999993</v>
      </c>
    </row>
    <row r="492" spans="1:20" x14ac:dyDescent="0.3">
      <c r="A492">
        <v>413</v>
      </c>
      <c r="C492">
        <v>20</v>
      </c>
      <c r="D492">
        <v>6708</v>
      </c>
      <c r="E492" t="s">
        <v>26</v>
      </c>
      <c r="F492" t="s">
        <v>27</v>
      </c>
      <c r="G492" t="s">
        <v>22</v>
      </c>
      <c r="H492" t="s">
        <v>23</v>
      </c>
      <c r="I492" t="s">
        <v>37</v>
      </c>
      <c r="J492">
        <v>51.47</v>
      </c>
      <c r="K492">
        <v>1</v>
      </c>
      <c r="L492">
        <v>2.5735000000000001</v>
      </c>
      <c r="M492">
        <v>54.043500000000002</v>
      </c>
      <c r="N492" s="1">
        <v>43542</v>
      </c>
      <c r="O492" s="2">
        <v>0.66111111111111109</v>
      </c>
      <c r="P492" t="s">
        <v>25</v>
      </c>
      <c r="Q492">
        <v>51.47</v>
      </c>
      <c r="R492">
        <v>4.7619047620000003</v>
      </c>
      <c r="S492">
        <v>2.5735000000000001</v>
      </c>
      <c r="T492">
        <v>8.5</v>
      </c>
    </row>
    <row r="493" spans="1:20" x14ac:dyDescent="0.3">
      <c r="A493">
        <v>425</v>
      </c>
      <c r="C493">
        <v>85</v>
      </c>
      <c r="D493">
        <v>2085</v>
      </c>
      <c r="E493" t="s">
        <v>34</v>
      </c>
      <c r="F493" t="s">
        <v>35</v>
      </c>
      <c r="G493" t="s">
        <v>22</v>
      </c>
      <c r="H493" t="s">
        <v>38</v>
      </c>
      <c r="I493" t="s">
        <v>24</v>
      </c>
      <c r="J493">
        <v>54.86</v>
      </c>
      <c r="K493">
        <v>5</v>
      </c>
      <c r="L493">
        <v>13.715</v>
      </c>
      <c r="M493">
        <v>288.01499999999999</v>
      </c>
      <c r="N493" s="1">
        <v>43553</v>
      </c>
      <c r="O493" s="2">
        <v>0.7</v>
      </c>
      <c r="P493" t="s">
        <v>25</v>
      </c>
      <c r="Q493">
        <v>274.3</v>
      </c>
      <c r="R493">
        <v>4.7619047620000003</v>
      </c>
      <c r="S493">
        <v>13.715</v>
      </c>
      <c r="T493">
        <v>9.8000000000000007</v>
      </c>
    </row>
    <row r="494" spans="1:20" x14ac:dyDescent="0.3">
      <c r="A494">
        <v>521</v>
      </c>
      <c r="C494">
        <v>18</v>
      </c>
      <c r="D494">
        <v>7827</v>
      </c>
      <c r="E494" t="s">
        <v>26</v>
      </c>
      <c r="F494" t="s">
        <v>27</v>
      </c>
      <c r="G494" t="s">
        <v>22</v>
      </c>
      <c r="H494" t="s">
        <v>38</v>
      </c>
      <c r="I494" t="s">
        <v>31</v>
      </c>
      <c r="J494">
        <v>39.39</v>
      </c>
      <c r="K494">
        <v>5</v>
      </c>
      <c r="L494">
        <v>9.8475000000000001</v>
      </c>
      <c r="M494">
        <v>206.79750000000001</v>
      </c>
      <c r="N494" s="1">
        <v>43487</v>
      </c>
      <c r="O494" s="2">
        <v>0.86527777777777781</v>
      </c>
      <c r="P494" t="s">
        <v>32</v>
      </c>
      <c r="Q494">
        <v>196.95</v>
      </c>
      <c r="R494">
        <v>4.7619047620000003</v>
      </c>
      <c r="S494">
        <v>9.8475000000000001</v>
      </c>
      <c r="T494">
        <v>8.6999999999999993</v>
      </c>
    </row>
    <row r="495" spans="1:20" x14ac:dyDescent="0.3">
      <c r="A495">
        <v>220</v>
      </c>
      <c r="C495">
        <v>28</v>
      </c>
      <c r="D495">
        <v>1851</v>
      </c>
      <c r="E495" t="s">
        <v>20</v>
      </c>
      <c r="F495" t="s">
        <v>21</v>
      </c>
      <c r="G495" t="s">
        <v>28</v>
      </c>
      <c r="H495" t="s">
        <v>38</v>
      </c>
      <c r="I495" t="s">
        <v>31</v>
      </c>
      <c r="J495">
        <v>34.729999999999997</v>
      </c>
      <c r="K495">
        <v>2</v>
      </c>
      <c r="L495">
        <v>3.4729999999999999</v>
      </c>
      <c r="M495">
        <v>72.933000000000007</v>
      </c>
      <c r="N495" s="1">
        <v>43525</v>
      </c>
      <c r="O495" s="2">
        <v>0.75972222222222219</v>
      </c>
      <c r="P495" t="s">
        <v>25</v>
      </c>
      <c r="Q495">
        <v>69.459999999999994</v>
      </c>
      <c r="R495">
        <v>4.7619047620000003</v>
      </c>
      <c r="S495">
        <v>3.4729999999999999</v>
      </c>
      <c r="T495">
        <v>9.6999999999999993</v>
      </c>
    </row>
    <row r="496" spans="1:20" x14ac:dyDescent="0.3">
      <c r="A496">
        <v>600</v>
      </c>
      <c r="C496">
        <v>38</v>
      </c>
      <c r="D496">
        <v>9738</v>
      </c>
      <c r="E496" t="s">
        <v>26</v>
      </c>
      <c r="F496" t="s">
        <v>27</v>
      </c>
      <c r="G496" t="s">
        <v>22</v>
      </c>
      <c r="H496" t="s">
        <v>38</v>
      </c>
      <c r="I496" t="s">
        <v>33</v>
      </c>
      <c r="J496">
        <v>71.92</v>
      </c>
      <c r="K496">
        <v>5</v>
      </c>
      <c r="L496">
        <v>17.98</v>
      </c>
      <c r="M496">
        <v>377.58</v>
      </c>
      <c r="N496" s="1">
        <v>43482</v>
      </c>
      <c r="O496" s="2">
        <v>0.62847222222222221</v>
      </c>
      <c r="P496" t="s">
        <v>32</v>
      </c>
      <c r="Q496">
        <v>359.6</v>
      </c>
      <c r="R496">
        <v>4.7619047620000003</v>
      </c>
      <c r="S496">
        <v>17.98</v>
      </c>
      <c r="T496">
        <v>4.3</v>
      </c>
    </row>
    <row r="497" spans="1:20" x14ac:dyDescent="0.3">
      <c r="A497">
        <v>734</v>
      </c>
      <c r="C497">
        <v>91</v>
      </c>
      <c r="D497">
        <v>1155</v>
      </c>
      <c r="E497" t="s">
        <v>34</v>
      </c>
      <c r="F497" t="s">
        <v>35</v>
      </c>
      <c r="G497" t="s">
        <v>28</v>
      </c>
      <c r="H497" t="s">
        <v>23</v>
      </c>
      <c r="I497" t="s">
        <v>29</v>
      </c>
      <c r="J497">
        <v>45.71</v>
      </c>
      <c r="K497">
        <v>3</v>
      </c>
      <c r="L497">
        <v>6.8564999999999996</v>
      </c>
      <c r="M497">
        <v>143.98650000000001</v>
      </c>
      <c r="N497" s="1">
        <v>43550</v>
      </c>
      <c r="O497" s="2">
        <v>0.44027777777777777</v>
      </c>
      <c r="P497" t="s">
        <v>32</v>
      </c>
      <c r="Q497">
        <v>137.13</v>
      </c>
      <c r="R497">
        <v>4.7619047620000003</v>
      </c>
      <c r="S497">
        <v>6.8564999999999996</v>
      </c>
      <c r="T497">
        <v>7.7</v>
      </c>
    </row>
    <row r="498" spans="1:20" x14ac:dyDescent="0.3">
      <c r="A498">
        <v>451</v>
      </c>
      <c r="C498">
        <v>28</v>
      </c>
      <c r="D498">
        <v>5717</v>
      </c>
      <c r="E498" t="s">
        <v>26</v>
      </c>
      <c r="F498" t="s">
        <v>27</v>
      </c>
      <c r="G498" t="s">
        <v>22</v>
      </c>
      <c r="H498" t="s">
        <v>23</v>
      </c>
      <c r="I498" t="s">
        <v>31</v>
      </c>
      <c r="J498">
        <v>83.17</v>
      </c>
      <c r="K498">
        <v>6</v>
      </c>
      <c r="L498">
        <v>24.951000000000001</v>
      </c>
      <c r="M498">
        <v>523.971</v>
      </c>
      <c r="N498" s="1">
        <v>43544</v>
      </c>
      <c r="O498" s="2">
        <v>0.47430555555555554</v>
      </c>
      <c r="P498" t="s">
        <v>30</v>
      </c>
      <c r="Q498">
        <v>499.02</v>
      </c>
      <c r="R498">
        <v>4.7619047620000003</v>
      </c>
      <c r="S498">
        <v>24.951000000000001</v>
      </c>
      <c r="T498">
        <v>7.3</v>
      </c>
    </row>
    <row r="499" spans="1:20" x14ac:dyDescent="0.3">
      <c r="A499">
        <v>609</v>
      </c>
      <c r="C499">
        <v>81</v>
      </c>
      <c r="D499">
        <v>8548</v>
      </c>
      <c r="E499" t="s">
        <v>20</v>
      </c>
      <c r="F499" t="s">
        <v>21</v>
      </c>
      <c r="G499" t="s">
        <v>22</v>
      </c>
      <c r="H499" t="s">
        <v>23</v>
      </c>
      <c r="I499" t="s">
        <v>31</v>
      </c>
      <c r="J499">
        <v>37.44</v>
      </c>
      <c r="K499">
        <v>6</v>
      </c>
      <c r="L499">
        <v>11.231999999999999</v>
      </c>
      <c r="M499">
        <v>235.87200000000001</v>
      </c>
      <c r="N499" s="1">
        <v>43502</v>
      </c>
      <c r="O499" s="2">
        <v>0.57986111111111116</v>
      </c>
      <c r="P499" t="s">
        <v>32</v>
      </c>
      <c r="Q499">
        <v>224.64</v>
      </c>
      <c r="R499">
        <v>4.7619047620000003</v>
      </c>
      <c r="S499">
        <v>11.231999999999999</v>
      </c>
      <c r="T499">
        <v>5.9</v>
      </c>
    </row>
    <row r="500" spans="1:20" x14ac:dyDescent="0.3">
      <c r="A500">
        <v>133</v>
      </c>
      <c r="C500">
        <v>14</v>
      </c>
      <c r="D500">
        <v>7229</v>
      </c>
      <c r="E500" t="s">
        <v>26</v>
      </c>
      <c r="F500" t="s">
        <v>27</v>
      </c>
      <c r="G500" t="s">
        <v>28</v>
      </c>
      <c r="H500" t="s">
        <v>38</v>
      </c>
      <c r="I500" t="s">
        <v>24</v>
      </c>
      <c r="J500">
        <v>62.87</v>
      </c>
      <c r="K500">
        <v>2</v>
      </c>
      <c r="L500">
        <v>6.2869999999999999</v>
      </c>
      <c r="M500">
        <v>132.02699999999999</v>
      </c>
      <c r="N500" s="1">
        <v>43466</v>
      </c>
      <c r="O500" s="2">
        <v>0.48819444444444443</v>
      </c>
      <c r="P500" t="s">
        <v>30</v>
      </c>
      <c r="Q500">
        <v>125.74</v>
      </c>
      <c r="R500">
        <v>4.7619047620000003</v>
      </c>
      <c r="S500">
        <v>6.2869999999999999</v>
      </c>
      <c r="T500">
        <v>5</v>
      </c>
    </row>
    <row r="501" spans="1:20" x14ac:dyDescent="0.3">
      <c r="A501">
        <v>534</v>
      </c>
      <c r="C501">
        <v>1</v>
      </c>
      <c r="D501">
        <v>4457</v>
      </c>
      <c r="E501" t="s">
        <v>20</v>
      </c>
      <c r="F501" t="s">
        <v>21</v>
      </c>
      <c r="G501" t="s">
        <v>28</v>
      </c>
      <c r="H501" t="s">
        <v>38</v>
      </c>
      <c r="I501" t="s">
        <v>36</v>
      </c>
      <c r="J501">
        <v>81.709999999999994</v>
      </c>
      <c r="K501">
        <v>6</v>
      </c>
      <c r="L501">
        <v>24.513000000000002</v>
      </c>
      <c r="M501">
        <v>514.77300000000002</v>
      </c>
      <c r="N501" s="1">
        <v>43492</v>
      </c>
      <c r="O501" s="2">
        <v>0.60833333333333328</v>
      </c>
      <c r="P501" t="s">
        <v>32</v>
      </c>
      <c r="Q501">
        <v>490.26</v>
      </c>
      <c r="R501">
        <v>4.7619047620000003</v>
      </c>
      <c r="S501">
        <v>24.513000000000002</v>
      </c>
      <c r="T501">
        <v>8</v>
      </c>
    </row>
    <row r="502" spans="1:20" x14ac:dyDescent="0.3">
      <c r="A502">
        <v>719</v>
      </c>
      <c r="C502">
        <v>89</v>
      </c>
      <c r="D502">
        <v>8991</v>
      </c>
      <c r="E502" t="s">
        <v>20</v>
      </c>
      <c r="F502" t="s">
        <v>21</v>
      </c>
      <c r="G502" t="s">
        <v>22</v>
      </c>
      <c r="H502" t="s">
        <v>23</v>
      </c>
      <c r="I502" t="s">
        <v>33</v>
      </c>
      <c r="J502">
        <v>91.41</v>
      </c>
      <c r="K502">
        <v>5</v>
      </c>
      <c r="L502">
        <v>22.852499999999999</v>
      </c>
      <c r="M502">
        <v>479.90249999999997</v>
      </c>
      <c r="N502" s="1">
        <v>43521</v>
      </c>
      <c r="O502" s="2">
        <v>0.66874999999999996</v>
      </c>
      <c r="P502" t="s">
        <v>25</v>
      </c>
      <c r="Q502">
        <v>457.05</v>
      </c>
      <c r="R502">
        <v>4.7619047620000003</v>
      </c>
      <c r="S502">
        <v>22.852499999999999</v>
      </c>
      <c r="T502">
        <v>7.1</v>
      </c>
    </row>
    <row r="503" spans="1:20" x14ac:dyDescent="0.3">
      <c r="A503">
        <v>286</v>
      </c>
      <c r="C503">
        <v>62</v>
      </c>
      <c r="D503">
        <v>6248</v>
      </c>
      <c r="E503" t="s">
        <v>34</v>
      </c>
      <c r="F503" t="s">
        <v>35</v>
      </c>
      <c r="G503" t="s">
        <v>28</v>
      </c>
      <c r="H503" t="s">
        <v>38</v>
      </c>
      <c r="I503" t="s">
        <v>37</v>
      </c>
      <c r="J503">
        <v>39.21</v>
      </c>
      <c r="K503">
        <v>4</v>
      </c>
      <c r="L503">
        <v>7.8419999999999996</v>
      </c>
      <c r="M503">
        <v>164.68199999999999</v>
      </c>
      <c r="N503" s="1">
        <v>43481</v>
      </c>
      <c r="O503" s="2">
        <v>0.8354166666666667</v>
      </c>
      <c r="P503" t="s">
        <v>32</v>
      </c>
      <c r="Q503">
        <v>156.84</v>
      </c>
      <c r="R503">
        <v>4.7619047620000003</v>
      </c>
      <c r="S503">
        <v>7.8419999999999996</v>
      </c>
      <c r="T503">
        <v>9</v>
      </c>
    </row>
    <row r="504" spans="1:20" x14ac:dyDescent="0.3">
      <c r="A504">
        <v>339</v>
      </c>
      <c r="C504">
        <v>38</v>
      </c>
      <c r="D504">
        <v>9982</v>
      </c>
      <c r="E504" t="s">
        <v>34</v>
      </c>
      <c r="F504" t="s">
        <v>35</v>
      </c>
      <c r="G504" t="s">
        <v>22</v>
      </c>
      <c r="H504" t="s">
        <v>38</v>
      </c>
      <c r="I504" t="s">
        <v>37</v>
      </c>
      <c r="J504">
        <v>59.86</v>
      </c>
      <c r="K504">
        <v>2</v>
      </c>
      <c r="L504">
        <v>5.9859999999999998</v>
      </c>
      <c r="M504">
        <v>125.706</v>
      </c>
      <c r="N504" s="1">
        <v>43478</v>
      </c>
      <c r="O504" s="2">
        <v>0.62152777777777779</v>
      </c>
      <c r="P504" t="s">
        <v>25</v>
      </c>
      <c r="Q504">
        <v>119.72</v>
      </c>
      <c r="R504">
        <v>4.7619047620000003</v>
      </c>
      <c r="S504">
        <v>5.9859999999999998</v>
      </c>
      <c r="T504">
        <v>6.7</v>
      </c>
    </row>
    <row r="505" spans="1:20" x14ac:dyDescent="0.3">
      <c r="A505">
        <v>827</v>
      </c>
      <c r="C505">
        <v>44</v>
      </c>
      <c r="D505">
        <v>5872</v>
      </c>
      <c r="E505" t="s">
        <v>34</v>
      </c>
      <c r="F505" t="s">
        <v>35</v>
      </c>
      <c r="G505" t="s">
        <v>22</v>
      </c>
      <c r="H505" t="s">
        <v>23</v>
      </c>
      <c r="I505" t="s">
        <v>36</v>
      </c>
      <c r="J505">
        <v>54.36</v>
      </c>
      <c r="K505">
        <v>10</v>
      </c>
      <c r="L505">
        <v>27.18</v>
      </c>
      <c r="M505">
        <v>570.78</v>
      </c>
      <c r="N505" s="1">
        <v>43503</v>
      </c>
      <c r="O505" s="2">
        <v>0.4777777777777778</v>
      </c>
      <c r="P505" t="s">
        <v>32</v>
      </c>
      <c r="Q505">
        <v>543.6</v>
      </c>
      <c r="R505">
        <v>4.7619047620000003</v>
      </c>
      <c r="S505">
        <v>27.18</v>
      </c>
      <c r="T505">
        <v>6.1</v>
      </c>
    </row>
    <row r="506" spans="1:20" x14ac:dyDescent="0.3">
      <c r="A506">
        <v>827</v>
      </c>
      <c r="C506">
        <v>77</v>
      </c>
      <c r="D506">
        <v>7633</v>
      </c>
      <c r="E506" t="s">
        <v>20</v>
      </c>
      <c r="F506" t="s">
        <v>21</v>
      </c>
      <c r="G506" t="s">
        <v>28</v>
      </c>
      <c r="H506" t="s">
        <v>38</v>
      </c>
      <c r="I506" t="s">
        <v>33</v>
      </c>
      <c r="J506">
        <v>98.09</v>
      </c>
      <c r="K506">
        <v>9</v>
      </c>
      <c r="L506">
        <v>44.140500000000003</v>
      </c>
      <c r="M506">
        <v>926.95050000000003</v>
      </c>
      <c r="N506" s="1">
        <v>43513</v>
      </c>
      <c r="O506" s="2">
        <v>0.82013888888888886</v>
      </c>
      <c r="P506" t="s">
        <v>30</v>
      </c>
      <c r="Q506">
        <v>882.81</v>
      </c>
      <c r="R506">
        <v>4.7619047620000003</v>
      </c>
      <c r="S506">
        <v>44.140500000000003</v>
      </c>
      <c r="T506">
        <v>9.3000000000000007</v>
      </c>
    </row>
    <row r="507" spans="1:20" x14ac:dyDescent="0.3">
      <c r="A507">
        <v>287</v>
      </c>
      <c r="C507">
        <v>83</v>
      </c>
      <c r="D507">
        <v>1405</v>
      </c>
      <c r="E507" t="s">
        <v>20</v>
      </c>
      <c r="F507" t="s">
        <v>21</v>
      </c>
      <c r="G507" t="s">
        <v>28</v>
      </c>
      <c r="H507" t="s">
        <v>38</v>
      </c>
      <c r="I507" t="s">
        <v>24</v>
      </c>
      <c r="J507">
        <v>25.43</v>
      </c>
      <c r="K507">
        <v>6</v>
      </c>
      <c r="L507">
        <v>7.6289999999999996</v>
      </c>
      <c r="M507">
        <v>160.209</v>
      </c>
      <c r="N507" s="1">
        <v>43508</v>
      </c>
      <c r="O507" s="2">
        <v>0.79236111111111107</v>
      </c>
      <c r="P507" t="s">
        <v>25</v>
      </c>
      <c r="Q507">
        <v>152.58000000000001</v>
      </c>
      <c r="R507">
        <v>4.7619047620000003</v>
      </c>
      <c r="S507">
        <v>7.6289999999999996</v>
      </c>
      <c r="T507">
        <v>7</v>
      </c>
    </row>
    <row r="508" spans="1:20" x14ac:dyDescent="0.3">
      <c r="A508">
        <v>435</v>
      </c>
      <c r="C508">
        <v>13</v>
      </c>
      <c r="D508">
        <v>4908</v>
      </c>
      <c r="E508" t="s">
        <v>20</v>
      </c>
      <c r="F508" t="s">
        <v>21</v>
      </c>
      <c r="G508" t="s">
        <v>22</v>
      </c>
      <c r="H508" t="s">
        <v>38</v>
      </c>
      <c r="I508" t="s">
        <v>37</v>
      </c>
      <c r="J508">
        <v>86.68</v>
      </c>
      <c r="K508">
        <v>8</v>
      </c>
      <c r="L508">
        <v>34.671999999999997</v>
      </c>
      <c r="M508">
        <v>728.11199999999997</v>
      </c>
      <c r="N508" s="1">
        <v>43489</v>
      </c>
      <c r="O508" s="2">
        <v>0.75277777777777777</v>
      </c>
      <c r="P508" t="s">
        <v>32</v>
      </c>
      <c r="Q508">
        <v>693.44</v>
      </c>
      <c r="R508">
        <v>4.7619047620000003</v>
      </c>
      <c r="S508">
        <v>34.671999999999997</v>
      </c>
      <c r="T508">
        <v>7.2</v>
      </c>
    </row>
    <row r="509" spans="1:20" x14ac:dyDescent="0.3">
      <c r="A509">
        <v>857</v>
      </c>
      <c r="C509">
        <v>67</v>
      </c>
      <c r="D509">
        <v>9057</v>
      </c>
      <c r="E509" t="s">
        <v>34</v>
      </c>
      <c r="F509" t="s">
        <v>35</v>
      </c>
      <c r="G509" t="s">
        <v>28</v>
      </c>
      <c r="H509" t="s">
        <v>38</v>
      </c>
      <c r="I509" t="s">
        <v>29</v>
      </c>
      <c r="J509">
        <v>22.95</v>
      </c>
      <c r="K509">
        <v>10</v>
      </c>
      <c r="L509">
        <v>11.475</v>
      </c>
      <c r="M509">
        <v>240.97499999999999</v>
      </c>
      <c r="N509" s="1">
        <v>43502</v>
      </c>
      <c r="O509" s="2">
        <v>0.80555555555555558</v>
      </c>
      <c r="P509" t="s">
        <v>25</v>
      </c>
      <c r="Q509">
        <v>229.5</v>
      </c>
      <c r="R509">
        <v>4.7619047620000003</v>
      </c>
      <c r="S509">
        <v>11.475</v>
      </c>
      <c r="T509">
        <v>8.1999999999999993</v>
      </c>
    </row>
    <row r="510" spans="1:20" x14ac:dyDescent="0.3">
      <c r="A510">
        <v>236</v>
      </c>
      <c r="C510">
        <v>27</v>
      </c>
      <c r="D510">
        <v>1144</v>
      </c>
      <c r="E510" t="s">
        <v>26</v>
      </c>
      <c r="F510" t="s">
        <v>27</v>
      </c>
      <c r="G510" t="s">
        <v>28</v>
      </c>
      <c r="H510" t="s">
        <v>23</v>
      </c>
      <c r="I510" t="s">
        <v>36</v>
      </c>
      <c r="J510">
        <v>16.309999999999999</v>
      </c>
      <c r="K510">
        <v>9</v>
      </c>
      <c r="L510">
        <v>7.3395000000000001</v>
      </c>
      <c r="M510">
        <v>154.12950000000001</v>
      </c>
      <c r="N510" s="1">
        <v>43550</v>
      </c>
      <c r="O510" s="2">
        <v>0.43819444444444444</v>
      </c>
      <c r="P510" t="s">
        <v>25</v>
      </c>
      <c r="Q510">
        <v>146.79</v>
      </c>
      <c r="R510">
        <v>4.7619047620000003</v>
      </c>
      <c r="S510">
        <v>7.3395000000000001</v>
      </c>
      <c r="T510">
        <v>8.4</v>
      </c>
    </row>
    <row r="511" spans="1:20" x14ac:dyDescent="0.3">
      <c r="A511">
        <v>892</v>
      </c>
      <c r="C511">
        <v>5</v>
      </c>
      <c r="D511">
        <v>6689</v>
      </c>
      <c r="E511" t="s">
        <v>20</v>
      </c>
      <c r="F511" t="s">
        <v>21</v>
      </c>
      <c r="G511" t="s">
        <v>28</v>
      </c>
      <c r="H511" t="s">
        <v>23</v>
      </c>
      <c r="I511" t="s">
        <v>31</v>
      </c>
      <c r="J511">
        <v>28.32</v>
      </c>
      <c r="K511">
        <v>5</v>
      </c>
      <c r="L511">
        <v>7.08</v>
      </c>
      <c r="M511">
        <v>148.68</v>
      </c>
      <c r="N511" s="1">
        <v>43535</v>
      </c>
      <c r="O511" s="2">
        <v>0.56111111111111112</v>
      </c>
      <c r="P511" t="s">
        <v>25</v>
      </c>
      <c r="Q511">
        <v>141.6</v>
      </c>
      <c r="R511">
        <v>4.7619047620000003</v>
      </c>
      <c r="S511">
        <v>7.08</v>
      </c>
      <c r="T511">
        <v>6.2</v>
      </c>
    </row>
    <row r="512" spans="1:20" x14ac:dyDescent="0.3">
      <c r="A512">
        <v>583</v>
      </c>
      <c r="C512">
        <v>41</v>
      </c>
      <c r="D512">
        <v>4548</v>
      </c>
      <c r="E512" t="s">
        <v>26</v>
      </c>
      <c r="F512" t="s">
        <v>27</v>
      </c>
      <c r="G512" t="s">
        <v>28</v>
      </c>
      <c r="H512" t="s">
        <v>38</v>
      </c>
      <c r="I512" t="s">
        <v>31</v>
      </c>
      <c r="J512">
        <v>16.670000000000002</v>
      </c>
      <c r="K512">
        <v>7</v>
      </c>
      <c r="L512">
        <v>5.8345000000000002</v>
      </c>
      <c r="M512">
        <v>122.5245</v>
      </c>
      <c r="N512" s="1">
        <v>43503</v>
      </c>
      <c r="O512" s="2">
        <v>0.48333333333333334</v>
      </c>
      <c r="P512" t="s">
        <v>25</v>
      </c>
      <c r="Q512">
        <v>116.69</v>
      </c>
      <c r="R512">
        <v>4.7619047620000003</v>
      </c>
      <c r="S512">
        <v>5.8345000000000002</v>
      </c>
      <c r="T512">
        <v>7.4</v>
      </c>
    </row>
    <row r="513" spans="1:20" x14ac:dyDescent="0.3">
      <c r="A513">
        <v>339</v>
      </c>
      <c r="C513">
        <v>12</v>
      </c>
      <c r="D513">
        <v>4827</v>
      </c>
      <c r="E513" t="s">
        <v>34</v>
      </c>
      <c r="F513" t="s">
        <v>35</v>
      </c>
      <c r="G513" t="s">
        <v>22</v>
      </c>
      <c r="H513" t="s">
        <v>23</v>
      </c>
      <c r="I513" t="s">
        <v>37</v>
      </c>
      <c r="J513">
        <v>73.959999999999994</v>
      </c>
      <c r="K513">
        <v>1</v>
      </c>
      <c r="L513">
        <v>3.698</v>
      </c>
      <c r="M513">
        <v>77.658000000000001</v>
      </c>
      <c r="N513" s="1">
        <v>43470</v>
      </c>
      <c r="O513" s="2">
        <v>0.48055555555555557</v>
      </c>
      <c r="P513" t="s">
        <v>32</v>
      </c>
      <c r="Q513">
        <v>73.959999999999994</v>
      </c>
      <c r="R513">
        <v>4.7619047620000003</v>
      </c>
      <c r="S513">
        <v>3.698</v>
      </c>
      <c r="T513">
        <v>5</v>
      </c>
    </row>
    <row r="514" spans="1:20" x14ac:dyDescent="0.3">
      <c r="A514">
        <v>643</v>
      </c>
      <c r="C514">
        <v>38</v>
      </c>
      <c r="D514">
        <v>7867</v>
      </c>
      <c r="E514" t="s">
        <v>20</v>
      </c>
      <c r="F514" t="s">
        <v>21</v>
      </c>
      <c r="G514" t="s">
        <v>28</v>
      </c>
      <c r="H514" t="s">
        <v>38</v>
      </c>
      <c r="I514" t="s">
        <v>31</v>
      </c>
      <c r="J514">
        <v>97.94</v>
      </c>
      <c r="K514">
        <v>1</v>
      </c>
      <c r="L514">
        <v>4.8970000000000002</v>
      </c>
      <c r="M514">
        <v>102.837</v>
      </c>
      <c r="N514" s="1">
        <v>43531</v>
      </c>
      <c r="O514" s="2">
        <v>0.48888888888888887</v>
      </c>
      <c r="P514" t="s">
        <v>25</v>
      </c>
      <c r="Q514">
        <v>97.94</v>
      </c>
      <c r="R514">
        <v>4.7619047620000003</v>
      </c>
      <c r="S514">
        <v>4.8970000000000002</v>
      </c>
      <c r="T514">
        <v>6.9</v>
      </c>
    </row>
    <row r="515" spans="1:20" x14ac:dyDescent="0.3">
      <c r="A515">
        <v>308</v>
      </c>
      <c r="C515">
        <v>81</v>
      </c>
      <c r="D515">
        <v>538</v>
      </c>
      <c r="E515" t="s">
        <v>20</v>
      </c>
      <c r="F515" t="s">
        <v>21</v>
      </c>
      <c r="G515" t="s">
        <v>28</v>
      </c>
      <c r="H515" t="s">
        <v>23</v>
      </c>
      <c r="I515" t="s">
        <v>37</v>
      </c>
      <c r="J515">
        <v>73.05</v>
      </c>
      <c r="K515">
        <v>4</v>
      </c>
      <c r="L515">
        <v>14.61</v>
      </c>
      <c r="M515">
        <v>306.81</v>
      </c>
      <c r="N515" s="1">
        <v>43521</v>
      </c>
      <c r="O515" s="2">
        <v>0.71944444444444444</v>
      </c>
      <c r="P515" t="s">
        <v>32</v>
      </c>
      <c r="Q515">
        <v>292.2</v>
      </c>
      <c r="R515">
        <v>4.7619047620000003</v>
      </c>
      <c r="S515">
        <v>14.61</v>
      </c>
      <c r="T515">
        <v>4.9000000000000004</v>
      </c>
    </row>
    <row r="516" spans="1:20" x14ac:dyDescent="0.3">
      <c r="A516">
        <v>358</v>
      </c>
      <c r="C516">
        <v>88</v>
      </c>
      <c r="D516">
        <v>9262</v>
      </c>
      <c r="E516" t="s">
        <v>26</v>
      </c>
      <c r="F516" t="s">
        <v>27</v>
      </c>
      <c r="G516" t="s">
        <v>22</v>
      </c>
      <c r="H516" t="s">
        <v>23</v>
      </c>
      <c r="I516" t="s">
        <v>36</v>
      </c>
      <c r="J516">
        <v>87.48</v>
      </c>
      <c r="K516">
        <v>6</v>
      </c>
      <c r="L516">
        <v>26.244</v>
      </c>
      <c r="M516">
        <v>551.12400000000002</v>
      </c>
      <c r="N516" s="1">
        <v>43497</v>
      </c>
      <c r="O516" s="2">
        <v>0.77986111111111112</v>
      </c>
      <c r="P516" t="s">
        <v>25</v>
      </c>
      <c r="Q516">
        <v>524.88</v>
      </c>
      <c r="R516">
        <v>4.7619047620000003</v>
      </c>
      <c r="S516">
        <v>26.244</v>
      </c>
      <c r="T516">
        <v>5.0999999999999996</v>
      </c>
    </row>
    <row r="517" spans="1:20" x14ac:dyDescent="0.3">
      <c r="A517">
        <v>460</v>
      </c>
      <c r="C517">
        <v>35</v>
      </c>
      <c r="D517">
        <v>4390</v>
      </c>
      <c r="E517" t="s">
        <v>20</v>
      </c>
      <c r="F517" t="s">
        <v>21</v>
      </c>
      <c r="G517" t="s">
        <v>28</v>
      </c>
      <c r="H517" t="s">
        <v>38</v>
      </c>
      <c r="I517" t="s">
        <v>31</v>
      </c>
      <c r="J517">
        <v>30.68</v>
      </c>
      <c r="K517">
        <v>3</v>
      </c>
      <c r="L517">
        <v>4.6020000000000003</v>
      </c>
      <c r="M517">
        <v>96.641999999999996</v>
      </c>
      <c r="N517" s="1">
        <v>43487</v>
      </c>
      <c r="O517" s="2">
        <v>0.45833333333333331</v>
      </c>
      <c r="P517" t="s">
        <v>25</v>
      </c>
      <c r="Q517">
        <v>92.04</v>
      </c>
      <c r="R517">
        <v>4.7619047620000003</v>
      </c>
      <c r="S517">
        <v>4.6020000000000003</v>
      </c>
      <c r="T517">
        <v>9.1</v>
      </c>
    </row>
    <row r="518" spans="1:20" x14ac:dyDescent="0.3">
      <c r="A518">
        <v>343</v>
      </c>
      <c r="C518">
        <v>87</v>
      </c>
      <c r="D518">
        <v>864</v>
      </c>
      <c r="E518" t="s">
        <v>26</v>
      </c>
      <c r="F518" t="s">
        <v>27</v>
      </c>
      <c r="G518" t="s">
        <v>22</v>
      </c>
      <c r="H518" t="s">
        <v>38</v>
      </c>
      <c r="I518" t="s">
        <v>24</v>
      </c>
      <c r="J518">
        <v>75.88</v>
      </c>
      <c r="K518">
        <v>1</v>
      </c>
      <c r="L518">
        <v>3.794</v>
      </c>
      <c r="M518">
        <v>79.674000000000007</v>
      </c>
      <c r="N518" s="1">
        <v>43468</v>
      </c>
      <c r="O518" s="2">
        <v>0.4375</v>
      </c>
      <c r="P518" t="s">
        <v>32</v>
      </c>
      <c r="Q518">
        <v>75.88</v>
      </c>
      <c r="R518">
        <v>4.7619047620000003</v>
      </c>
      <c r="S518">
        <v>3.794</v>
      </c>
      <c r="T518">
        <v>7.1</v>
      </c>
    </row>
    <row r="519" spans="1:20" x14ac:dyDescent="0.3">
      <c r="A519">
        <v>173</v>
      </c>
      <c r="C519">
        <v>50</v>
      </c>
      <c r="D519">
        <v>1108</v>
      </c>
      <c r="E519" t="s">
        <v>34</v>
      </c>
      <c r="F519" t="s">
        <v>35</v>
      </c>
      <c r="G519" t="s">
        <v>22</v>
      </c>
      <c r="H519" t="s">
        <v>23</v>
      </c>
      <c r="I519" t="s">
        <v>33</v>
      </c>
      <c r="J519">
        <v>20.18</v>
      </c>
      <c r="K519">
        <v>4</v>
      </c>
      <c r="L519">
        <v>4.0359999999999996</v>
      </c>
      <c r="M519">
        <v>84.756</v>
      </c>
      <c r="N519" s="1">
        <v>43509</v>
      </c>
      <c r="O519" s="2">
        <v>0.50972222222222219</v>
      </c>
      <c r="P519" t="s">
        <v>32</v>
      </c>
      <c r="Q519">
        <v>80.72</v>
      </c>
      <c r="R519">
        <v>4.7619047620000003</v>
      </c>
      <c r="S519">
        <v>4.0359999999999996</v>
      </c>
      <c r="T519">
        <v>5</v>
      </c>
    </row>
    <row r="520" spans="1:20" x14ac:dyDescent="0.3">
      <c r="A520">
        <v>243</v>
      </c>
      <c r="C520">
        <v>47</v>
      </c>
      <c r="D520">
        <v>2663</v>
      </c>
      <c r="E520" t="s">
        <v>26</v>
      </c>
      <c r="F520" t="s">
        <v>27</v>
      </c>
      <c r="G520" t="s">
        <v>22</v>
      </c>
      <c r="H520" t="s">
        <v>38</v>
      </c>
      <c r="I520" t="s">
        <v>29</v>
      </c>
      <c r="J520">
        <v>18.77</v>
      </c>
      <c r="K520">
        <v>6</v>
      </c>
      <c r="L520">
        <v>5.6310000000000002</v>
      </c>
      <c r="M520">
        <v>118.251</v>
      </c>
      <c r="N520" s="1">
        <v>43493</v>
      </c>
      <c r="O520" s="2">
        <v>0.69652777777777775</v>
      </c>
      <c r="P520" t="s">
        <v>32</v>
      </c>
      <c r="Q520">
        <v>112.62</v>
      </c>
      <c r="R520">
        <v>4.7619047620000003</v>
      </c>
      <c r="S520">
        <v>5.6310000000000002</v>
      </c>
      <c r="T520">
        <v>5.5</v>
      </c>
    </row>
    <row r="521" spans="1:20" x14ac:dyDescent="0.3">
      <c r="A521">
        <v>841</v>
      </c>
      <c r="C521">
        <v>18</v>
      </c>
      <c r="D521">
        <v>8232</v>
      </c>
      <c r="E521" t="s">
        <v>34</v>
      </c>
      <c r="F521" t="s">
        <v>35</v>
      </c>
      <c r="G521" t="s">
        <v>28</v>
      </c>
      <c r="H521" t="s">
        <v>23</v>
      </c>
      <c r="I521" t="s">
        <v>36</v>
      </c>
      <c r="J521">
        <v>71.2</v>
      </c>
      <c r="K521">
        <v>1</v>
      </c>
      <c r="L521">
        <v>3.56</v>
      </c>
      <c r="M521">
        <v>74.760000000000005</v>
      </c>
      <c r="N521" s="1">
        <v>43470</v>
      </c>
      <c r="O521" s="2">
        <v>0.86111111111111116</v>
      </c>
      <c r="P521" t="s">
        <v>32</v>
      </c>
      <c r="Q521">
        <v>71.2</v>
      </c>
      <c r="R521">
        <v>4.7619047620000003</v>
      </c>
      <c r="S521">
        <v>3.56</v>
      </c>
      <c r="T521">
        <v>9.1999999999999993</v>
      </c>
    </row>
    <row r="522" spans="1:20" x14ac:dyDescent="0.3">
      <c r="A522">
        <v>701</v>
      </c>
      <c r="C522">
        <v>23</v>
      </c>
      <c r="D522">
        <v>5550</v>
      </c>
      <c r="E522" t="s">
        <v>34</v>
      </c>
      <c r="F522" t="s">
        <v>35</v>
      </c>
      <c r="G522" t="s">
        <v>22</v>
      </c>
      <c r="H522" t="s">
        <v>38</v>
      </c>
      <c r="I522" t="s">
        <v>31</v>
      </c>
      <c r="J522">
        <v>38.81</v>
      </c>
      <c r="K522">
        <v>4</v>
      </c>
      <c r="L522">
        <v>7.7619999999999996</v>
      </c>
      <c r="M522">
        <v>163.00200000000001</v>
      </c>
      <c r="N522" s="1">
        <v>43543</v>
      </c>
      <c r="O522" s="2">
        <v>0.56944444444444442</v>
      </c>
      <c r="P522" t="s">
        <v>25</v>
      </c>
      <c r="Q522">
        <v>155.24</v>
      </c>
      <c r="R522">
        <v>4.7619047620000003</v>
      </c>
      <c r="S522">
        <v>7.7619999999999996</v>
      </c>
      <c r="T522">
        <v>4.9000000000000004</v>
      </c>
    </row>
    <row r="523" spans="1:20" x14ac:dyDescent="0.3">
      <c r="A523">
        <v>647</v>
      </c>
      <c r="C523">
        <v>50</v>
      </c>
      <c r="D523">
        <v>1224</v>
      </c>
      <c r="E523" t="s">
        <v>20</v>
      </c>
      <c r="F523" t="s">
        <v>21</v>
      </c>
      <c r="G523" t="s">
        <v>28</v>
      </c>
      <c r="H523" t="s">
        <v>23</v>
      </c>
      <c r="I523" t="s">
        <v>37</v>
      </c>
      <c r="J523">
        <v>29.42</v>
      </c>
      <c r="K523">
        <v>10</v>
      </c>
      <c r="L523">
        <v>14.71</v>
      </c>
      <c r="M523">
        <v>308.91000000000003</v>
      </c>
      <c r="N523" s="1">
        <v>43477</v>
      </c>
      <c r="O523" s="2">
        <v>0.68263888888888891</v>
      </c>
      <c r="P523" t="s">
        <v>25</v>
      </c>
      <c r="Q523">
        <v>294.2</v>
      </c>
      <c r="R523">
        <v>4.7619047620000003</v>
      </c>
      <c r="S523">
        <v>14.71</v>
      </c>
      <c r="T523">
        <v>8.9</v>
      </c>
    </row>
    <row r="524" spans="1:20" x14ac:dyDescent="0.3">
      <c r="A524">
        <v>541</v>
      </c>
      <c r="C524">
        <v>48</v>
      </c>
      <c r="D524">
        <v>8554</v>
      </c>
      <c r="E524" t="s">
        <v>20</v>
      </c>
      <c r="F524" t="s">
        <v>21</v>
      </c>
      <c r="G524" t="s">
        <v>28</v>
      </c>
      <c r="H524" t="s">
        <v>38</v>
      </c>
      <c r="I524" t="s">
        <v>33</v>
      </c>
      <c r="J524">
        <v>60.95</v>
      </c>
      <c r="K524">
        <v>9</v>
      </c>
      <c r="L524">
        <v>27.427499999999998</v>
      </c>
      <c r="M524">
        <v>575.97749999999996</v>
      </c>
      <c r="N524" s="1">
        <v>43472</v>
      </c>
      <c r="O524" s="2">
        <v>0.50555555555555554</v>
      </c>
      <c r="P524" t="s">
        <v>32</v>
      </c>
      <c r="Q524">
        <v>548.54999999999995</v>
      </c>
      <c r="R524">
        <v>4.7619047620000003</v>
      </c>
      <c r="S524">
        <v>27.427499999999998</v>
      </c>
      <c r="T524">
        <v>6</v>
      </c>
    </row>
    <row r="525" spans="1:20" x14ac:dyDescent="0.3">
      <c r="A525">
        <v>539</v>
      </c>
      <c r="C525">
        <v>21</v>
      </c>
      <c r="D525">
        <v>7227</v>
      </c>
      <c r="E525" t="s">
        <v>34</v>
      </c>
      <c r="F525" t="s">
        <v>35</v>
      </c>
      <c r="G525" t="s">
        <v>28</v>
      </c>
      <c r="H525" t="s">
        <v>23</v>
      </c>
      <c r="I525" t="s">
        <v>33</v>
      </c>
      <c r="J525">
        <v>51.54</v>
      </c>
      <c r="K525">
        <v>5</v>
      </c>
      <c r="L525">
        <v>12.885</v>
      </c>
      <c r="M525">
        <v>270.58499999999998</v>
      </c>
      <c r="N525" s="1">
        <v>43491</v>
      </c>
      <c r="O525" s="2">
        <v>0.73958333333333337</v>
      </c>
      <c r="P525" t="s">
        <v>30</v>
      </c>
      <c r="Q525">
        <v>257.7</v>
      </c>
      <c r="R525">
        <v>4.7619047620000003</v>
      </c>
      <c r="S525">
        <v>12.885</v>
      </c>
      <c r="T525">
        <v>4.2</v>
      </c>
    </row>
    <row r="526" spans="1:20" x14ac:dyDescent="0.3">
      <c r="A526">
        <v>213</v>
      </c>
      <c r="C526">
        <v>32</v>
      </c>
      <c r="D526">
        <v>1216</v>
      </c>
      <c r="E526" t="s">
        <v>20</v>
      </c>
      <c r="F526" t="s">
        <v>21</v>
      </c>
      <c r="G526" t="s">
        <v>28</v>
      </c>
      <c r="H526" t="s">
        <v>23</v>
      </c>
      <c r="I526" t="s">
        <v>29</v>
      </c>
      <c r="J526">
        <v>66.06</v>
      </c>
      <c r="K526">
        <v>6</v>
      </c>
      <c r="L526">
        <v>19.818000000000001</v>
      </c>
      <c r="M526">
        <v>416.178</v>
      </c>
      <c r="N526" s="1">
        <v>43488</v>
      </c>
      <c r="O526" s="2">
        <v>0.43611111111111112</v>
      </c>
      <c r="P526" t="s">
        <v>30</v>
      </c>
      <c r="Q526">
        <v>396.36</v>
      </c>
      <c r="R526">
        <v>4.7619047620000003</v>
      </c>
      <c r="S526">
        <v>19.818000000000001</v>
      </c>
      <c r="T526">
        <v>7.3</v>
      </c>
    </row>
    <row r="527" spans="1:20" x14ac:dyDescent="0.3">
      <c r="A527">
        <v>747</v>
      </c>
      <c r="C527">
        <v>58</v>
      </c>
      <c r="D527">
        <v>7183</v>
      </c>
      <c r="E527" t="s">
        <v>34</v>
      </c>
      <c r="F527" t="s">
        <v>35</v>
      </c>
      <c r="G527" t="s">
        <v>28</v>
      </c>
      <c r="H527" t="s">
        <v>38</v>
      </c>
      <c r="I527" t="s">
        <v>37</v>
      </c>
      <c r="J527">
        <v>57.27</v>
      </c>
      <c r="K527">
        <v>3</v>
      </c>
      <c r="L527">
        <v>8.5905000000000005</v>
      </c>
      <c r="M527">
        <v>180.40049999999999</v>
      </c>
      <c r="N527" s="1">
        <v>43505</v>
      </c>
      <c r="O527" s="2">
        <v>0.85486111111111107</v>
      </c>
      <c r="P527" t="s">
        <v>25</v>
      </c>
      <c r="Q527">
        <v>171.81</v>
      </c>
      <c r="R527">
        <v>4.7619047620000003</v>
      </c>
      <c r="S527">
        <v>8.5905000000000005</v>
      </c>
      <c r="T527">
        <v>6.5</v>
      </c>
    </row>
    <row r="528" spans="1:20" x14ac:dyDescent="0.3">
      <c r="A528">
        <v>582</v>
      </c>
      <c r="C528">
        <v>52</v>
      </c>
      <c r="D528">
        <v>8065</v>
      </c>
      <c r="E528" t="s">
        <v>34</v>
      </c>
      <c r="F528" t="s">
        <v>35</v>
      </c>
      <c r="G528" t="s">
        <v>28</v>
      </c>
      <c r="H528" t="s">
        <v>23</v>
      </c>
      <c r="I528" t="s">
        <v>37</v>
      </c>
      <c r="J528">
        <v>54.31</v>
      </c>
      <c r="K528">
        <v>9</v>
      </c>
      <c r="L528">
        <v>24.439499999999999</v>
      </c>
      <c r="M528">
        <v>513.22950000000003</v>
      </c>
      <c r="N528" s="1">
        <v>43518</v>
      </c>
      <c r="O528" s="2">
        <v>0.45069444444444445</v>
      </c>
      <c r="P528" t="s">
        <v>30</v>
      </c>
      <c r="Q528">
        <v>488.79</v>
      </c>
      <c r="R528">
        <v>4.7619047620000003</v>
      </c>
      <c r="S528">
        <v>24.439499999999999</v>
      </c>
      <c r="T528">
        <v>8.9</v>
      </c>
    </row>
    <row r="529" spans="1:20" x14ac:dyDescent="0.3">
      <c r="A529">
        <v>399</v>
      </c>
      <c r="C529">
        <v>69</v>
      </c>
      <c r="D529">
        <v>4630</v>
      </c>
      <c r="E529" t="s">
        <v>26</v>
      </c>
      <c r="F529" t="s">
        <v>27</v>
      </c>
      <c r="G529" t="s">
        <v>28</v>
      </c>
      <c r="H529" t="s">
        <v>38</v>
      </c>
      <c r="I529" t="s">
        <v>29</v>
      </c>
      <c r="J529">
        <v>22.21</v>
      </c>
      <c r="K529">
        <v>6</v>
      </c>
      <c r="L529">
        <v>6.6630000000000003</v>
      </c>
      <c r="M529">
        <v>139.923</v>
      </c>
      <c r="N529" s="1">
        <v>43531</v>
      </c>
      <c r="O529" s="2">
        <v>0.43263888888888891</v>
      </c>
      <c r="P529" t="s">
        <v>32</v>
      </c>
      <c r="Q529">
        <v>133.26</v>
      </c>
      <c r="R529">
        <v>4.7619047620000003</v>
      </c>
      <c r="S529">
        <v>6.6630000000000003</v>
      </c>
      <c r="T529">
        <v>8.6</v>
      </c>
    </row>
    <row r="530" spans="1:20" x14ac:dyDescent="0.3">
      <c r="A530">
        <v>134</v>
      </c>
      <c r="C530">
        <v>75</v>
      </c>
      <c r="D530">
        <v>2619</v>
      </c>
      <c r="E530" t="s">
        <v>20</v>
      </c>
      <c r="F530" t="s">
        <v>21</v>
      </c>
      <c r="G530" t="s">
        <v>22</v>
      </c>
      <c r="H530" t="s">
        <v>38</v>
      </c>
      <c r="I530" t="s">
        <v>29</v>
      </c>
      <c r="J530">
        <v>19.32</v>
      </c>
      <c r="K530">
        <v>7</v>
      </c>
      <c r="L530">
        <v>6.7619999999999996</v>
      </c>
      <c r="M530">
        <v>142.00200000000001</v>
      </c>
      <c r="N530" s="1">
        <v>43549</v>
      </c>
      <c r="O530" s="2">
        <v>0.78541666666666665</v>
      </c>
      <c r="P530" t="s">
        <v>30</v>
      </c>
      <c r="Q530">
        <v>135.24</v>
      </c>
      <c r="R530">
        <v>4.7619047620000003</v>
      </c>
      <c r="S530">
        <v>6.7619999999999996</v>
      </c>
      <c r="T530">
        <v>6.9</v>
      </c>
    </row>
    <row r="531" spans="1:20" x14ac:dyDescent="0.3">
      <c r="A531">
        <v>356</v>
      </c>
      <c r="C531">
        <v>44</v>
      </c>
      <c r="D531">
        <v>8813</v>
      </c>
      <c r="E531" t="s">
        <v>34</v>
      </c>
      <c r="F531" t="s">
        <v>35</v>
      </c>
      <c r="G531" t="s">
        <v>28</v>
      </c>
      <c r="H531" t="s">
        <v>38</v>
      </c>
      <c r="I531" t="s">
        <v>31</v>
      </c>
      <c r="J531">
        <v>37.479999999999997</v>
      </c>
      <c r="K531">
        <v>3</v>
      </c>
      <c r="L531">
        <v>5.6219999999999999</v>
      </c>
      <c r="M531">
        <v>118.062</v>
      </c>
      <c r="N531" s="1">
        <v>43485</v>
      </c>
      <c r="O531" s="2">
        <v>0.57291666666666663</v>
      </c>
      <c r="P531" t="s">
        <v>32</v>
      </c>
      <c r="Q531">
        <v>112.44</v>
      </c>
      <c r="R531">
        <v>4.7619047620000003</v>
      </c>
      <c r="S531">
        <v>5.6219999999999999</v>
      </c>
      <c r="T531">
        <v>7.7</v>
      </c>
    </row>
    <row r="532" spans="1:20" x14ac:dyDescent="0.3">
      <c r="A532">
        <v>198</v>
      </c>
      <c r="C532">
        <v>66</v>
      </c>
      <c r="D532">
        <v>9832</v>
      </c>
      <c r="E532" t="s">
        <v>34</v>
      </c>
      <c r="F532" t="s">
        <v>35</v>
      </c>
      <c r="G532" t="s">
        <v>22</v>
      </c>
      <c r="H532" t="s">
        <v>23</v>
      </c>
      <c r="I532" t="s">
        <v>37</v>
      </c>
      <c r="J532">
        <v>72.040000000000006</v>
      </c>
      <c r="K532">
        <v>2</v>
      </c>
      <c r="L532">
        <v>7.2039999999999997</v>
      </c>
      <c r="M532">
        <v>151.28399999999999</v>
      </c>
      <c r="N532" s="1">
        <v>43500</v>
      </c>
      <c r="O532" s="2">
        <v>0.81805555555555554</v>
      </c>
      <c r="P532" t="s">
        <v>30</v>
      </c>
      <c r="Q532">
        <v>144.08000000000001</v>
      </c>
      <c r="R532">
        <v>4.7619047620000003</v>
      </c>
      <c r="S532">
        <v>7.2039999999999997</v>
      </c>
      <c r="T532">
        <v>9.5</v>
      </c>
    </row>
    <row r="533" spans="1:20" x14ac:dyDescent="0.3">
      <c r="A533">
        <v>283</v>
      </c>
      <c r="C533">
        <v>26</v>
      </c>
      <c r="D533">
        <v>5248</v>
      </c>
      <c r="E533" t="s">
        <v>26</v>
      </c>
      <c r="F533" t="s">
        <v>27</v>
      </c>
      <c r="G533" t="s">
        <v>22</v>
      </c>
      <c r="H533" t="s">
        <v>23</v>
      </c>
      <c r="I533" t="s">
        <v>36</v>
      </c>
      <c r="J533">
        <v>98.52</v>
      </c>
      <c r="K533">
        <v>10</v>
      </c>
      <c r="L533">
        <v>49.26</v>
      </c>
      <c r="M533">
        <v>1034.46</v>
      </c>
      <c r="N533" s="1">
        <v>43495</v>
      </c>
      <c r="O533" s="2">
        <v>0.84930555555555554</v>
      </c>
      <c r="P533" t="s">
        <v>25</v>
      </c>
      <c r="Q533">
        <v>985.2</v>
      </c>
      <c r="R533">
        <v>4.7619047620000003</v>
      </c>
      <c r="S533">
        <v>49.26</v>
      </c>
      <c r="T533">
        <v>4.5</v>
      </c>
    </row>
    <row r="534" spans="1:20" x14ac:dyDescent="0.3">
      <c r="A534">
        <v>712</v>
      </c>
      <c r="C534">
        <v>39</v>
      </c>
      <c r="D534">
        <v>363</v>
      </c>
      <c r="E534" t="s">
        <v>20</v>
      </c>
      <c r="F534" t="s">
        <v>21</v>
      </c>
      <c r="G534" t="s">
        <v>22</v>
      </c>
      <c r="H534" t="s">
        <v>38</v>
      </c>
      <c r="I534" t="s">
        <v>36</v>
      </c>
      <c r="J534">
        <v>41.66</v>
      </c>
      <c r="K534">
        <v>6</v>
      </c>
      <c r="L534">
        <v>12.497999999999999</v>
      </c>
      <c r="M534">
        <v>262.45800000000003</v>
      </c>
      <c r="N534" s="1">
        <v>43467</v>
      </c>
      <c r="O534" s="2">
        <v>0.64166666666666672</v>
      </c>
      <c r="P534" t="s">
        <v>25</v>
      </c>
      <c r="Q534">
        <v>249.96</v>
      </c>
      <c r="R534">
        <v>4.7619047620000003</v>
      </c>
      <c r="S534">
        <v>12.497999999999999</v>
      </c>
      <c r="T534">
        <v>5.6</v>
      </c>
    </row>
    <row r="535" spans="1:20" x14ac:dyDescent="0.3">
      <c r="A535">
        <v>218</v>
      </c>
      <c r="C535">
        <v>59</v>
      </c>
      <c r="D535">
        <v>9410</v>
      </c>
      <c r="E535" t="s">
        <v>20</v>
      </c>
      <c r="F535" t="s">
        <v>21</v>
      </c>
      <c r="G535" t="s">
        <v>22</v>
      </c>
      <c r="H535" t="s">
        <v>23</v>
      </c>
      <c r="I535" t="s">
        <v>31</v>
      </c>
      <c r="J535">
        <v>72.42</v>
      </c>
      <c r="K535">
        <v>3</v>
      </c>
      <c r="L535">
        <v>10.863</v>
      </c>
      <c r="M535">
        <v>228.12299999999999</v>
      </c>
      <c r="N535" s="1">
        <v>43553</v>
      </c>
      <c r="O535" s="2">
        <v>0.70416666666666672</v>
      </c>
      <c r="P535" t="s">
        <v>25</v>
      </c>
      <c r="Q535">
        <v>217.26</v>
      </c>
      <c r="R535">
        <v>4.7619047620000003</v>
      </c>
      <c r="S535">
        <v>10.863</v>
      </c>
      <c r="T535">
        <v>8.1999999999999993</v>
      </c>
    </row>
    <row r="536" spans="1:20" x14ac:dyDescent="0.3">
      <c r="A536">
        <v>174</v>
      </c>
      <c r="C536">
        <v>75</v>
      </c>
      <c r="D536">
        <v>888</v>
      </c>
      <c r="E536" t="s">
        <v>34</v>
      </c>
      <c r="F536" t="s">
        <v>35</v>
      </c>
      <c r="G536" t="s">
        <v>28</v>
      </c>
      <c r="H536" t="s">
        <v>38</v>
      </c>
      <c r="I536" t="s">
        <v>29</v>
      </c>
      <c r="J536">
        <v>21.58</v>
      </c>
      <c r="K536">
        <v>9</v>
      </c>
      <c r="L536">
        <v>9.7110000000000003</v>
      </c>
      <c r="M536">
        <v>203.93100000000001</v>
      </c>
      <c r="N536" s="1">
        <v>43538</v>
      </c>
      <c r="O536" s="2">
        <v>0.52222222222222225</v>
      </c>
      <c r="P536" t="s">
        <v>30</v>
      </c>
      <c r="Q536">
        <v>194.22</v>
      </c>
      <c r="R536">
        <v>4.7619047620000003</v>
      </c>
      <c r="S536">
        <v>9.7110000000000003</v>
      </c>
      <c r="T536">
        <v>7.3</v>
      </c>
    </row>
    <row r="537" spans="1:20" x14ac:dyDescent="0.3">
      <c r="A537">
        <v>866</v>
      </c>
      <c r="C537">
        <v>99</v>
      </c>
      <c r="D537">
        <v>7614</v>
      </c>
      <c r="E537" t="s">
        <v>26</v>
      </c>
      <c r="F537" t="s">
        <v>27</v>
      </c>
      <c r="G537" t="s">
        <v>28</v>
      </c>
      <c r="H537" t="s">
        <v>38</v>
      </c>
      <c r="I537" t="s">
        <v>36</v>
      </c>
      <c r="J537">
        <v>89.2</v>
      </c>
      <c r="K537">
        <v>10</v>
      </c>
      <c r="L537">
        <v>44.6</v>
      </c>
      <c r="M537">
        <v>936.6</v>
      </c>
      <c r="N537" s="1">
        <v>43507</v>
      </c>
      <c r="O537" s="2">
        <v>0.65416666666666667</v>
      </c>
      <c r="P537" t="s">
        <v>32</v>
      </c>
      <c r="Q537">
        <v>892</v>
      </c>
      <c r="R537">
        <v>4.7619047620000003</v>
      </c>
      <c r="S537">
        <v>44.6</v>
      </c>
      <c r="T537">
        <v>4.4000000000000004</v>
      </c>
    </row>
    <row r="538" spans="1:20" x14ac:dyDescent="0.3">
      <c r="A538">
        <v>134</v>
      </c>
      <c r="C538">
        <v>54</v>
      </c>
      <c r="D538">
        <v>4720</v>
      </c>
      <c r="E538" t="s">
        <v>34</v>
      </c>
      <c r="F538" t="s">
        <v>35</v>
      </c>
      <c r="G538" t="s">
        <v>28</v>
      </c>
      <c r="H538" t="s">
        <v>23</v>
      </c>
      <c r="I538" t="s">
        <v>29</v>
      </c>
      <c r="J538">
        <v>42.42</v>
      </c>
      <c r="K538">
        <v>8</v>
      </c>
      <c r="L538">
        <v>16.968</v>
      </c>
      <c r="M538">
        <v>356.32799999999997</v>
      </c>
      <c r="N538" s="1">
        <v>43495</v>
      </c>
      <c r="O538" s="2">
        <v>0.58194444444444449</v>
      </c>
      <c r="P538" t="s">
        <v>25</v>
      </c>
      <c r="Q538">
        <v>339.36</v>
      </c>
      <c r="R538">
        <v>4.7619047620000003</v>
      </c>
      <c r="S538">
        <v>16.968</v>
      </c>
      <c r="T538">
        <v>5.7</v>
      </c>
    </row>
    <row r="539" spans="1:20" x14ac:dyDescent="0.3">
      <c r="A539">
        <v>760</v>
      </c>
      <c r="C539">
        <v>90</v>
      </c>
      <c r="D539">
        <v>2357</v>
      </c>
      <c r="E539" t="s">
        <v>20</v>
      </c>
      <c r="F539" t="s">
        <v>21</v>
      </c>
      <c r="G539" t="s">
        <v>22</v>
      </c>
      <c r="H539" t="s">
        <v>38</v>
      </c>
      <c r="I539" t="s">
        <v>29</v>
      </c>
      <c r="J539">
        <v>74.510000000000005</v>
      </c>
      <c r="K539">
        <v>6</v>
      </c>
      <c r="L539">
        <v>22.353000000000002</v>
      </c>
      <c r="M539">
        <v>469.41300000000001</v>
      </c>
      <c r="N539" s="1">
        <v>43544</v>
      </c>
      <c r="O539" s="2">
        <v>0.63055555555555554</v>
      </c>
      <c r="P539" t="s">
        <v>25</v>
      </c>
      <c r="Q539">
        <v>447.06</v>
      </c>
      <c r="R539">
        <v>4.7619047620000003</v>
      </c>
      <c r="S539">
        <v>22.353000000000002</v>
      </c>
      <c r="T539">
        <v>5</v>
      </c>
    </row>
    <row r="540" spans="1:20" x14ac:dyDescent="0.3">
      <c r="A540">
        <v>514</v>
      </c>
      <c r="C540">
        <v>37</v>
      </c>
      <c r="D540">
        <v>2845</v>
      </c>
      <c r="E540" t="s">
        <v>34</v>
      </c>
      <c r="F540" t="s">
        <v>35</v>
      </c>
      <c r="G540" t="s">
        <v>28</v>
      </c>
      <c r="H540" t="s">
        <v>38</v>
      </c>
      <c r="I540" t="s">
        <v>37</v>
      </c>
      <c r="J540">
        <v>99.25</v>
      </c>
      <c r="K540">
        <v>2</v>
      </c>
      <c r="L540">
        <v>9.9250000000000007</v>
      </c>
      <c r="M540">
        <v>208.42500000000001</v>
      </c>
      <c r="N540" s="1">
        <v>43544</v>
      </c>
      <c r="O540" s="2">
        <v>0.54305555555555551</v>
      </c>
      <c r="P540" t="s">
        <v>30</v>
      </c>
      <c r="Q540">
        <v>198.5</v>
      </c>
      <c r="R540">
        <v>4.7619047620000003</v>
      </c>
      <c r="S540">
        <v>9.9250000000000007</v>
      </c>
      <c r="T540">
        <v>9</v>
      </c>
    </row>
    <row r="541" spans="1:20" x14ac:dyDescent="0.3">
      <c r="A541">
        <v>698</v>
      </c>
      <c r="C541">
        <v>98</v>
      </c>
      <c r="D541">
        <v>5964</v>
      </c>
      <c r="E541" t="s">
        <v>20</v>
      </c>
      <c r="F541" t="s">
        <v>21</v>
      </c>
      <c r="G541" t="s">
        <v>28</v>
      </c>
      <c r="H541" t="s">
        <v>23</v>
      </c>
      <c r="I541" t="s">
        <v>36</v>
      </c>
      <c r="J541">
        <v>81.209999999999994</v>
      </c>
      <c r="K541">
        <v>10</v>
      </c>
      <c r="L541">
        <v>40.604999999999997</v>
      </c>
      <c r="M541">
        <v>852.70500000000004</v>
      </c>
      <c r="N541" s="1">
        <v>43482</v>
      </c>
      <c r="O541" s="2">
        <v>0.54236111111111107</v>
      </c>
      <c r="P541" t="s">
        <v>32</v>
      </c>
      <c r="Q541">
        <v>812.1</v>
      </c>
      <c r="R541">
        <v>4.7619047620000003</v>
      </c>
      <c r="S541">
        <v>40.604999999999997</v>
      </c>
      <c r="T541">
        <v>6.3</v>
      </c>
    </row>
    <row r="542" spans="1:20" x14ac:dyDescent="0.3">
      <c r="A542">
        <v>718</v>
      </c>
      <c r="C542">
        <v>57</v>
      </c>
      <c r="D542">
        <v>9773</v>
      </c>
      <c r="E542" t="s">
        <v>26</v>
      </c>
      <c r="F542" t="s">
        <v>27</v>
      </c>
      <c r="G542" t="s">
        <v>28</v>
      </c>
      <c r="H542" t="s">
        <v>23</v>
      </c>
      <c r="I542" t="s">
        <v>33</v>
      </c>
      <c r="J542">
        <v>49.33</v>
      </c>
      <c r="K542">
        <v>10</v>
      </c>
      <c r="L542">
        <v>24.664999999999999</v>
      </c>
      <c r="M542">
        <v>517.96500000000003</v>
      </c>
      <c r="N542" s="1">
        <v>43499</v>
      </c>
      <c r="O542" s="2">
        <v>0.69444444444444442</v>
      </c>
      <c r="P542" t="s">
        <v>32</v>
      </c>
      <c r="Q542">
        <v>493.3</v>
      </c>
      <c r="R542">
        <v>4.7619047620000003</v>
      </c>
      <c r="S542">
        <v>24.664999999999999</v>
      </c>
      <c r="T542">
        <v>9.4</v>
      </c>
    </row>
    <row r="543" spans="1:20" x14ac:dyDescent="0.3">
      <c r="A543">
        <v>651</v>
      </c>
      <c r="C543">
        <v>88</v>
      </c>
      <c r="D543">
        <v>7328</v>
      </c>
      <c r="E543" t="s">
        <v>20</v>
      </c>
      <c r="F543" t="s">
        <v>21</v>
      </c>
      <c r="G543" t="s">
        <v>28</v>
      </c>
      <c r="H543" t="s">
        <v>23</v>
      </c>
      <c r="I543" t="s">
        <v>37</v>
      </c>
      <c r="J543">
        <v>65.739999999999995</v>
      </c>
      <c r="K543">
        <v>9</v>
      </c>
      <c r="L543">
        <v>29.582999999999998</v>
      </c>
      <c r="M543">
        <v>621.24300000000005</v>
      </c>
      <c r="N543" s="1">
        <v>43466</v>
      </c>
      <c r="O543" s="2">
        <v>0.57986111111111116</v>
      </c>
      <c r="P543" t="s">
        <v>30</v>
      </c>
      <c r="Q543">
        <v>591.66</v>
      </c>
      <c r="R543">
        <v>4.7619047620000003</v>
      </c>
      <c r="S543">
        <v>29.582999999999998</v>
      </c>
      <c r="T543">
        <v>7.7</v>
      </c>
    </row>
    <row r="544" spans="1:20" x14ac:dyDescent="0.3">
      <c r="A544">
        <v>241</v>
      </c>
      <c r="C544">
        <v>11</v>
      </c>
      <c r="D544">
        <v>2261</v>
      </c>
      <c r="E544" t="s">
        <v>34</v>
      </c>
      <c r="F544" t="s">
        <v>35</v>
      </c>
      <c r="G544" t="s">
        <v>28</v>
      </c>
      <c r="H544" t="s">
        <v>23</v>
      </c>
      <c r="I544" t="s">
        <v>37</v>
      </c>
      <c r="J544">
        <v>79.86</v>
      </c>
      <c r="K544">
        <v>7</v>
      </c>
      <c r="L544">
        <v>27.951000000000001</v>
      </c>
      <c r="M544">
        <v>586.971</v>
      </c>
      <c r="N544" s="1">
        <v>43475</v>
      </c>
      <c r="O544" s="2">
        <v>0.43958333333333333</v>
      </c>
      <c r="P544" t="s">
        <v>32</v>
      </c>
      <c r="Q544">
        <v>559.02</v>
      </c>
      <c r="R544">
        <v>4.7619047620000003</v>
      </c>
      <c r="S544">
        <v>27.951000000000001</v>
      </c>
      <c r="T544">
        <v>5.5</v>
      </c>
    </row>
    <row r="545" spans="1:20" x14ac:dyDescent="0.3">
      <c r="A545">
        <v>408</v>
      </c>
      <c r="C545">
        <v>26</v>
      </c>
      <c r="D545">
        <v>9866</v>
      </c>
      <c r="E545" t="s">
        <v>26</v>
      </c>
      <c r="F545" t="s">
        <v>27</v>
      </c>
      <c r="G545" t="s">
        <v>28</v>
      </c>
      <c r="H545" t="s">
        <v>23</v>
      </c>
      <c r="I545" t="s">
        <v>33</v>
      </c>
      <c r="J545">
        <v>73.98</v>
      </c>
      <c r="K545">
        <v>7</v>
      </c>
      <c r="L545">
        <v>25.893000000000001</v>
      </c>
      <c r="M545">
        <v>543.75300000000004</v>
      </c>
      <c r="N545" s="1">
        <v>43526</v>
      </c>
      <c r="O545" s="2">
        <v>0.6958333333333333</v>
      </c>
      <c r="P545" t="s">
        <v>25</v>
      </c>
      <c r="Q545">
        <v>517.86</v>
      </c>
      <c r="R545">
        <v>4.7619047620000003</v>
      </c>
      <c r="S545">
        <v>25.893000000000001</v>
      </c>
      <c r="T545">
        <v>4.0999999999999996</v>
      </c>
    </row>
    <row r="546" spans="1:20" x14ac:dyDescent="0.3">
      <c r="A546">
        <v>834</v>
      </c>
      <c r="C546">
        <v>83</v>
      </c>
      <c r="D546">
        <v>1826</v>
      </c>
      <c r="E546" t="s">
        <v>34</v>
      </c>
      <c r="F546" t="s">
        <v>35</v>
      </c>
      <c r="G546" t="s">
        <v>22</v>
      </c>
      <c r="H546" t="s">
        <v>23</v>
      </c>
      <c r="I546" t="s">
        <v>31</v>
      </c>
      <c r="J546">
        <v>82.04</v>
      </c>
      <c r="K546">
        <v>5</v>
      </c>
      <c r="L546">
        <v>20.51</v>
      </c>
      <c r="M546">
        <v>430.71</v>
      </c>
      <c r="N546" s="1">
        <v>43521</v>
      </c>
      <c r="O546" s="2">
        <v>0.71944444444444444</v>
      </c>
      <c r="P546" t="s">
        <v>32</v>
      </c>
      <c r="Q546">
        <v>410.2</v>
      </c>
      <c r="R546">
        <v>4.7619047620000003</v>
      </c>
      <c r="S546">
        <v>20.51</v>
      </c>
      <c r="T546">
        <v>7.6</v>
      </c>
    </row>
    <row r="547" spans="1:20" x14ac:dyDescent="0.3">
      <c r="A547">
        <v>343</v>
      </c>
      <c r="C547">
        <v>61</v>
      </c>
      <c r="D547">
        <v>3544</v>
      </c>
      <c r="E547" t="s">
        <v>34</v>
      </c>
      <c r="F547" t="s">
        <v>35</v>
      </c>
      <c r="G547" t="s">
        <v>22</v>
      </c>
      <c r="H547" t="s">
        <v>38</v>
      </c>
      <c r="I547" t="s">
        <v>33</v>
      </c>
      <c r="J547">
        <v>26.67</v>
      </c>
      <c r="K547">
        <v>10</v>
      </c>
      <c r="L547">
        <v>13.335000000000001</v>
      </c>
      <c r="M547">
        <v>280.03500000000003</v>
      </c>
      <c r="N547" s="1">
        <v>43494</v>
      </c>
      <c r="O547" s="2">
        <v>0.49166666666666664</v>
      </c>
      <c r="P547" t="s">
        <v>30</v>
      </c>
      <c r="Q547">
        <v>266.7</v>
      </c>
      <c r="R547">
        <v>4.7619047620000003</v>
      </c>
      <c r="S547">
        <v>13.335000000000001</v>
      </c>
      <c r="T547">
        <v>8.6</v>
      </c>
    </row>
    <row r="548" spans="1:20" x14ac:dyDescent="0.3">
      <c r="A548">
        <v>239</v>
      </c>
      <c r="C548">
        <v>48</v>
      </c>
      <c r="D548">
        <v>4278</v>
      </c>
      <c r="E548" t="s">
        <v>20</v>
      </c>
      <c r="F548" t="s">
        <v>21</v>
      </c>
      <c r="G548" t="s">
        <v>22</v>
      </c>
      <c r="H548" t="s">
        <v>38</v>
      </c>
      <c r="I548" t="s">
        <v>36</v>
      </c>
      <c r="J548">
        <v>10.130000000000001</v>
      </c>
      <c r="K548">
        <v>7</v>
      </c>
      <c r="L548">
        <v>3.5455000000000001</v>
      </c>
      <c r="M548">
        <v>74.455500000000001</v>
      </c>
      <c r="N548" s="1">
        <v>43534</v>
      </c>
      <c r="O548" s="2">
        <v>0.81597222222222221</v>
      </c>
      <c r="P548" t="s">
        <v>25</v>
      </c>
      <c r="Q548">
        <v>70.91</v>
      </c>
      <c r="R548">
        <v>4.7619047620000003</v>
      </c>
      <c r="S548">
        <v>3.5455000000000001</v>
      </c>
      <c r="T548">
        <v>8.3000000000000007</v>
      </c>
    </row>
    <row r="549" spans="1:20" x14ac:dyDescent="0.3">
      <c r="A549">
        <v>355</v>
      </c>
      <c r="C549">
        <v>34</v>
      </c>
      <c r="D549">
        <v>6244</v>
      </c>
      <c r="E549" t="s">
        <v>34</v>
      </c>
      <c r="F549" t="s">
        <v>35</v>
      </c>
      <c r="G549" t="s">
        <v>28</v>
      </c>
      <c r="H549" t="s">
        <v>38</v>
      </c>
      <c r="I549" t="s">
        <v>36</v>
      </c>
      <c r="J549">
        <v>72.39</v>
      </c>
      <c r="K549">
        <v>2</v>
      </c>
      <c r="L549">
        <v>7.2389999999999999</v>
      </c>
      <c r="M549">
        <v>152.01900000000001</v>
      </c>
      <c r="N549" s="1">
        <v>43478</v>
      </c>
      <c r="O549" s="2">
        <v>0.82986111111111116</v>
      </c>
      <c r="P549" t="s">
        <v>32</v>
      </c>
      <c r="Q549">
        <v>144.78</v>
      </c>
      <c r="R549">
        <v>4.7619047620000003</v>
      </c>
      <c r="S549">
        <v>7.2389999999999999</v>
      </c>
      <c r="T549">
        <v>8.1</v>
      </c>
    </row>
    <row r="550" spans="1:20" x14ac:dyDescent="0.3">
      <c r="A550">
        <v>550</v>
      </c>
      <c r="C550">
        <v>84</v>
      </c>
      <c r="D550">
        <v>8664</v>
      </c>
      <c r="E550" t="s">
        <v>20</v>
      </c>
      <c r="F550" t="s">
        <v>21</v>
      </c>
      <c r="G550" t="s">
        <v>28</v>
      </c>
      <c r="H550" t="s">
        <v>38</v>
      </c>
      <c r="I550" t="s">
        <v>33</v>
      </c>
      <c r="J550">
        <v>85.91</v>
      </c>
      <c r="K550">
        <v>5</v>
      </c>
      <c r="L550">
        <v>21.477499999999999</v>
      </c>
      <c r="M550">
        <v>451.02749999999997</v>
      </c>
      <c r="N550" s="1">
        <v>43546</v>
      </c>
      <c r="O550" s="2">
        <v>0.60624999999999996</v>
      </c>
      <c r="P550" t="s">
        <v>32</v>
      </c>
      <c r="Q550">
        <v>429.55</v>
      </c>
      <c r="R550">
        <v>4.7619047620000003</v>
      </c>
      <c r="S550">
        <v>21.477499999999999</v>
      </c>
      <c r="T550">
        <v>8.6</v>
      </c>
    </row>
    <row r="551" spans="1:20" x14ac:dyDescent="0.3">
      <c r="A551">
        <v>339</v>
      </c>
      <c r="C551">
        <v>96</v>
      </c>
      <c r="D551">
        <v>8318</v>
      </c>
      <c r="E551" t="s">
        <v>34</v>
      </c>
      <c r="F551" t="s">
        <v>35</v>
      </c>
      <c r="G551" t="s">
        <v>22</v>
      </c>
      <c r="H551" t="s">
        <v>38</v>
      </c>
      <c r="I551" t="s">
        <v>37</v>
      </c>
      <c r="J551">
        <v>81.31</v>
      </c>
      <c r="K551">
        <v>7</v>
      </c>
      <c r="L551">
        <v>28.458500000000001</v>
      </c>
      <c r="M551">
        <v>597.62850000000003</v>
      </c>
      <c r="N551" s="1">
        <v>43525</v>
      </c>
      <c r="O551" s="2">
        <v>0.8256944444444444</v>
      </c>
      <c r="P551" t="s">
        <v>25</v>
      </c>
      <c r="Q551">
        <v>569.16999999999996</v>
      </c>
      <c r="R551">
        <v>4.7619047620000003</v>
      </c>
      <c r="S551">
        <v>28.458500000000001</v>
      </c>
      <c r="T551">
        <v>6.3</v>
      </c>
    </row>
    <row r="552" spans="1:20" x14ac:dyDescent="0.3">
      <c r="A552">
        <v>458</v>
      </c>
      <c r="C552">
        <v>61</v>
      </c>
      <c r="D552">
        <v>11</v>
      </c>
      <c r="E552" t="s">
        <v>34</v>
      </c>
      <c r="F552" t="s">
        <v>35</v>
      </c>
      <c r="G552" t="s">
        <v>28</v>
      </c>
      <c r="H552" t="s">
        <v>38</v>
      </c>
      <c r="I552" t="s">
        <v>36</v>
      </c>
      <c r="J552">
        <v>60.3</v>
      </c>
      <c r="K552">
        <v>4</v>
      </c>
      <c r="L552">
        <v>12.06</v>
      </c>
      <c r="M552">
        <v>253.26</v>
      </c>
      <c r="N552" s="1">
        <v>43516</v>
      </c>
      <c r="O552" s="2">
        <v>0.77986111111111112</v>
      </c>
      <c r="P552" t="s">
        <v>30</v>
      </c>
      <c r="Q552">
        <v>241.2</v>
      </c>
      <c r="R552">
        <v>4.7619047620000003</v>
      </c>
      <c r="S552">
        <v>12.06</v>
      </c>
      <c r="T552">
        <v>5.8</v>
      </c>
    </row>
    <row r="553" spans="1:20" x14ac:dyDescent="0.3">
      <c r="A553">
        <v>592</v>
      </c>
      <c r="C553">
        <v>34</v>
      </c>
      <c r="D553">
        <v>6155</v>
      </c>
      <c r="E553" t="s">
        <v>26</v>
      </c>
      <c r="F553" t="s">
        <v>27</v>
      </c>
      <c r="G553" t="s">
        <v>28</v>
      </c>
      <c r="H553" t="s">
        <v>38</v>
      </c>
      <c r="I553" t="s">
        <v>36</v>
      </c>
      <c r="J553">
        <v>31.77</v>
      </c>
      <c r="K553">
        <v>4</v>
      </c>
      <c r="L553">
        <v>6.3540000000000001</v>
      </c>
      <c r="M553">
        <v>133.434</v>
      </c>
      <c r="N553" s="1">
        <v>43479</v>
      </c>
      <c r="O553" s="2">
        <v>0.61319444444444449</v>
      </c>
      <c r="P553" t="s">
        <v>25</v>
      </c>
      <c r="Q553">
        <v>127.08</v>
      </c>
      <c r="R553">
        <v>4.7619047620000003</v>
      </c>
      <c r="S553">
        <v>6.3540000000000001</v>
      </c>
      <c r="T553">
        <v>6.2</v>
      </c>
    </row>
    <row r="554" spans="1:20" x14ac:dyDescent="0.3">
      <c r="A554">
        <v>797</v>
      </c>
      <c r="C554">
        <v>88</v>
      </c>
      <c r="D554">
        <v>493</v>
      </c>
      <c r="E554" t="s">
        <v>20</v>
      </c>
      <c r="F554" t="s">
        <v>21</v>
      </c>
      <c r="G554" t="s">
        <v>28</v>
      </c>
      <c r="H554" t="s">
        <v>23</v>
      </c>
      <c r="I554" t="s">
        <v>24</v>
      </c>
      <c r="J554">
        <v>64.27</v>
      </c>
      <c r="K554">
        <v>4</v>
      </c>
      <c r="L554">
        <v>12.853999999999999</v>
      </c>
      <c r="M554">
        <v>269.93400000000003</v>
      </c>
      <c r="N554" s="1">
        <v>43550</v>
      </c>
      <c r="O554" s="2">
        <v>0.57916666666666672</v>
      </c>
      <c r="P554" t="s">
        <v>30</v>
      </c>
      <c r="Q554">
        <v>257.08</v>
      </c>
      <c r="R554">
        <v>4.7619047620000003</v>
      </c>
      <c r="S554">
        <v>12.853999999999999</v>
      </c>
      <c r="T554">
        <v>7.7</v>
      </c>
    </row>
    <row r="555" spans="1:20" x14ac:dyDescent="0.3">
      <c r="A555">
        <v>207</v>
      </c>
      <c r="C555">
        <v>73</v>
      </c>
      <c r="D555">
        <v>1363</v>
      </c>
      <c r="E555" t="s">
        <v>34</v>
      </c>
      <c r="F555" t="s">
        <v>35</v>
      </c>
      <c r="G555" t="s">
        <v>28</v>
      </c>
      <c r="H555" t="s">
        <v>38</v>
      </c>
      <c r="I555" t="s">
        <v>24</v>
      </c>
      <c r="J555">
        <v>69.510000000000005</v>
      </c>
      <c r="K555">
        <v>2</v>
      </c>
      <c r="L555">
        <v>6.9509999999999996</v>
      </c>
      <c r="M555">
        <v>145.971</v>
      </c>
      <c r="N555" s="1">
        <v>43525</v>
      </c>
      <c r="O555" s="2">
        <v>0.51041666666666663</v>
      </c>
      <c r="P555" t="s">
        <v>25</v>
      </c>
      <c r="Q555">
        <v>139.02000000000001</v>
      </c>
      <c r="R555">
        <v>4.7619047620000003</v>
      </c>
      <c r="S555">
        <v>6.9509999999999996</v>
      </c>
      <c r="T555">
        <v>8.1</v>
      </c>
    </row>
    <row r="556" spans="1:20" x14ac:dyDescent="0.3">
      <c r="A556">
        <v>390</v>
      </c>
      <c r="C556">
        <v>31</v>
      </c>
      <c r="D556">
        <v>6381</v>
      </c>
      <c r="E556" t="s">
        <v>26</v>
      </c>
      <c r="F556" t="s">
        <v>27</v>
      </c>
      <c r="G556" t="s">
        <v>28</v>
      </c>
      <c r="H556" t="s">
        <v>38</v>
      </c>
      <c r="I556" t="s">
        <v>36</v>
      </c>
      <c r="J556">
        <v>27.22</v>
      </c>
      <c r="K556">
        <v>3</v>
      </c>
      <c r="L556">
        <v>4.0830000000000002</v>
      </c>
      <c r="M556">
        <v>85.742999999999995</v>
      </c>
      <c r="N556" s="1">
        <v>43472</v>
      </c>
      <c r="O556" s="2">
        <v>0.52569444444444446</v>
      </c>
      <c r="P556" t="s">
        <v>30</v>
      </c>
      <c r="Q556">
        <v>81.66</v>
      </c>
      <c r="R556">
        <v>4.7619047620000003</v>
      </c>
      <c r="S556">
        <v>4.0830000000000002</v>
      </c>
      <c r="T556">
        <v>7.3</v>
      </c>
    </row>
    <row r="557" spans="1:20" x14ac:dyDescent="0.3">
      <c r="A557">
        <v>443</v>
      </c>
      <c r="C557">
        <v>82</v>
      </c>
      <c r="D557">
        <v>585</v>
      </c>
      <c r="E557" t="s">
        <v>20</v>
      </c>
      <c r="F557" t="s">
        <v>21</v>
      </c>
      <c r="G557" t="s">
        <v>22</v>
      </c>
      <c r="H557" t="s">
        <v>23</v>
      </c>
      <c r="I557" t="s">
        <v>24</v>
      </c>
      <c r="J557">
        <v>77.680000000000007</v>
      </c>
      <c r="K557">
        <v>4</v>
      </c>
      <c r="L557">
        <v>15.536</v>
      </c>
      <c r="M557">
        <v>326.25599999999997</v>
      </c>
      <c r="N557" s="1">
        <v>43497</v>
      </c>
      <c r="O557" s="2">
        <v>0.82916666666666672</v>
      </c>
      <c r="P557" t="s">
        <v>30</v>
      </c>
      <c r="Q557">
        <v>310.72000000000003</v>
      </c>
      <c r="R557">
        <v>4.7619047620000003</v>
      </c>
      <c r="S557">
        <v>15.536</v>
      </c>
      <c r="T557">
        <v>8.4</v>
      </c>
    </row>
    <row r="558" spans="1:20" x14ac:dyDescent="0.3">
      <c r="A558">
        <v>339</v>
      </c>
      <c r="C558">
        <v>18</v>
      </c>
      <c r="D558">
        <v>7061</v>
      </c>
      <c r="E558" t="s">
        <v>26</v>
      </c>
      <c r="F558" t="s">
        <v>27</v>
      </c>
      <c r="G558" t="s">
        <v>22</v>
      </c>
      <c r="H558" t="s">
        <v>23</v>
      </c>
      <c r="I558" t="s">
        <v>37</v>
      </c>
      <c r="J558">
        <v>92.98</v>
      </c>
      <c r="K558">
        <v>2</v>
      </c>
      <c r="L558">
        <v>9.298</v>
      </c>
      <c r="M558">
        <v>195.25800000000001</v>
      </c>
      <c r="N558" s="1">
        <v>43509</v>
      </c>
      <c r="O558" s="2">
        <v>0.62916666666666665</v>
      </c>
      <c r="P558" t="s">
        <v>32</v>
      </c>
      <c r="Q558">
        <v>185.96</v>
      </c>
      <c r="R558">
        <v>4.7619047620000003</v>
      </c>
      <c r="S558">
        <v>9.298</v>
      </c>
      <c r="T558">
        <v>8</v>
      </c>
    </row>
    <row r="559" spans="1:20" x14ac:dyDescent="0.3">
      <c r="A559">
        <v>359</v>
      </c>
      <c r="C559">
        <v>90</v>
      </c>
      <c r="D559">
        <v>3665</v>
      </c>
      <c r="E559" t="s">
        <v>34</v>
      </c>
      <c r="F559" t="s">
        <v>35</v>
      </c>
      <c r="G559" t="s">
        <v>22</v>
      </c>
      <c r="H559" t="s">
        <v>23</v>
      </c>
      <c r="I559" t="s">
        <v>37</v>
      </c>
      <c r="J559">
        <v>18.079999999999998</v>
      </c>
      <c r="K559">
        <v>4</v>
      </c>
      <c r="L559">
        <v>3.6160000000000001</v>
      </c>
      <c r="M559">
        <v>75.936000000000007</v>
      </c>
      <c r="N559" s="1">
        <v>43479</v>
      </c>
      <c r="O559" s="2">
        <v>0.75208333333333333</v>
      </c>
      <c r="P559" t="s">
        <v>32</v>
      </c>
      <c r="Q559">
        <v>72.319999999999993</v>
      </c>
      <c r="R559">
        <v>4.7619047620000003</v>
      </c>
      <c r="S559">
        <v>3.6160000000000001</v>
      </c>
      <c r="T559">
        <v>9.5</v>
      </c>
    </row>
    <row r="560" spans="1:20" x14ac:dyDescent="0.3">
      <c r="A560">
        <v>375</v>
      </c>
      <c r="C560">
        <v>72</v>
      </c>
      <c r="D560">
        <v>3056</v>
      </c>
      <c r="E560" t="s">
        <v>34</v>
      </c>
      <c r="F560" t="s">
        <v>35</v>
      </c>
      <c r="G560" t="s">
        <v>28</v>
      </c>
      <c r="H560" t="s">
        <v>38</v>
      </c>
      <c r="I560" t="s">
        <v>33</v>
      </c>
      <c r="J560">
        <v>63.06</v>
      </c>
      <c r="K560">
        <v>3</v>
      </c>
      <c r="L560">
        <v>9.4589999999999996</v>
      </c>
      <c r="M560">
        <v>198.63900000000001</v>
      </c>
      <c r="N560" s="1">
        <v>43484</v>
      </c>
      <c r="O560" s="2">
        <v>0.66527777777777775</v>
      </c>
      <c r="P560" t="s">
        <v>25</v>
      </c>
      <c r="Q560">
        <v>189.18</v>
      </c>
      <c r="R560">
        <v>4.7619047620000003</v>
      </c>
      <c r="S560">
        <v>9.4589999999999996</v>
      </c>
      <c r="T560">
        <v>7</v>
      </c>
    </row>
    <row r="561" spans="1:20" x14ac:dyDescent="0.3">
      <c r="A561">
        <v>127</v>
      </c>
      <c r="C561">
        <v>47</v>
      </c>
      <c r="D561">
        <v>6963</v>
      </c>
      <c r="E561" t="s">
        <v>20</v>
      </c>
      <c r="F561" t="s">
        <v>21</v>
      </c>
      <c r="G561" t="s">
        <v>28</v>
      </c>
      <c r="H561" t="s">
        <v>38</v>
      </c>
      <c r="I561" t="s">
        <v>24</v>
      </c>
      <c r="J561">
        <v>51.71</v>
      </c>
      <c r="K561">
        <v>4</v>
      </c>
      <c r="L561">
        <v>10.342000000000001</v>
      </c>
      <c r="M561">
        <v>217.18199999999999</v>
      </c>
      <c r="N561" s="1">
        <v>43533</v>
      </c>
      <c r="O561" s="2">
        <v>0.57847222222222228</v>
      </c>
      <c r="P561" t="s">
        <v>32</v>
      </c>
      <c r="Q561">
        <v>206.84</v>
      </c>
      <c r="R561">
        <v>4.7619047620000003</v>
      </c>
      <c r="S561">
        <v>10.342000000000001</v>
      </c>
      <c r="T561">
        <v>9.8000000000000007</v>
      </c>
    </row>
    <row r="562" spans="1:20" x14ac:dyDescent="0.3">
      <c r="A562">
        <v>278</v>
      </c>
      <c r="C562">
        <v>86</v>
      </c>
      <c r="D562">
        <v>2735</v>
      </c>
      <c r="E562" t="s">
        <v>20</v>
      </c>
      <c r="F562" t="s">
        <v>21</v>
      </c>
      <c r="G562" t="s">
        <v>28</v>
      </c>
      <c r="H562" t="s">
        <v>23</v>
      </c>
      <c r="I562" t="s">
        <v>36</v>
      </c>
      <c r="J562">
        <v>52.34</v>
      </c>
      <c r="K562">
        <v>3</v>
      </c>
      <c r="L562">
        <v>7.851</v>
      </c>
      <c r="M562">
        <v>164.87100000000001</v>
      </c>
      <c r="N562" s="1">
        <v>43551</v>
      </c>
      <c r="O562" s="2">
        <v>0.5854166666666667</v>
      </c>
      <c r="P562" t="s">
        <v>30</v>
      </c>
      <c r="Q562">
        <v>157.02000000000001</v>
      </c>
      <c r="R562">
        <v>4.7619047620000003</v>
      </c>
      <c r="S562">
        <v>7.851</v>
      </c>
      <c r="T562">
        <v>9.1999999999999993</v>
      </c>
    </row>
    <row r="563" spans="1:20" x14ac:dyDescent="0.3">
      <c r="A563">
        <v>695</v>
      </c>
      <c r="C563">
        <v>28</v>
      </c>
      <c r="D563">
        <v>6250</v>
      </c>
      <c r="E563" t="s">
        <v>20</v>
      </c>
      <c r="F563" t="s">
        <v>21</v>
      </c>
      <c r="G563" t="s">
        <v>28</v>
      </c>
      <c r="H563" t="s">
        <v>23</v>
      </c>
      <c r="I563" t="s">
        <v>33</v>
      </c>
      <c r="J563">
        <v>43.06</v>
      </c>
      <c r="K563">
        <v>5</v>
      </c>
      <c r="L563">
        <v>10.765000000000001</v>
      </c>
      <c r="M563">
        <v>226.065</v>
      </c>
      <c r="N563" s="1">
        <v>43500</v>
      </c>
      <c r="O563" s="2">
        <v>0.69305555555555554</v>
      </c>
      <c r="P563" t="s">
        <v>25</v>
      </c>
      <c r="Q563">
        <v>215.3</v>
      </c>
      <c r="R563">
        <v>4.7619047620000003</v>
      </c>
      <c r="S563">
        <v>10.765000000000001</v>
      </c>
      <c r="T563">
        <v>7.7</v>
      </c>
    </row>
    <row r="564" spans="1:20" x14ac:dyDescent="0.3">
      <c r="A564">
        <v>379</v>
      </c>
      <c r="C564">
        <v>17</v>
      </c>
      <c r="D564">
        <v>6588</v>
      </c>
      <c r="E564" t="s">
        <v>26</v>
      </c>
      <c r="F564" t="s">
        <v>27</v>
      </c>
      <c r="G564" t="s">
        <v>28</v>
      </c>
      <c r="H564" t="s">
        <v>38</v>
      </c>
      <c r="I564" t="s">
        <v>37</v>
      </c>
      <c r="J564">
        <v>59.61</v>
      </c>
      <c r="K564">
        <v>10</v>
      </c>
      <c r="L564">
        <v>29.805</v>
      </c>
      <c r="M564">
        <v>625.90499999999997</v>
      </c>
      <c r="N564" s="1">
        <v>43538</v>
      </c>
      <c r="O564" s="2">
        <v>0.46319444444444446</v>
      </c>
      <c r="P564" t="s">
        <v>30</v>
      </c>
      <c r="Q564">
        <v>596.1</v>
      </c>
      <c r="R564">
        <v>4.7619047620000003</v>
      </c>
      <c r="S564">
        <v>29.805</v>
      </c>
      <c r="T564">
        <v>5.3</v>
      </c>
    </row>
    <row r="565" spans="1:20" x14ac:dyDescent="0.3">
      <c r="A565">
        <v>227</v>
      </c>
      <c r="C565">
        <v>50</v>
      </c>
      <c r="D565">
        <v>3718</v>
      </c>
      <c r="E565" t="s">
        <v>20</v>
      </c>
      <c r="F565" t="s">
        <v>21</v>
      </c>
      <c r="G565" t="s">
        <v>28</v>
      </c>
      <c r="H565" t="s">
        <v>38</v>
      </c>
      <c r="I565" t="s">
        <v>24</v>
      </c>
      <c r="J565">
        <v>14.62</v>
      </c>
      <c r="K565">
        <v>5</v>
      </c>
      <c r="L565">
        <v>3.6549999999999998</v>
      </c>
      <c r="M565">
        <v>76.754999999999995</v>
      </c>
      <c r="N565" s="1">
        <v>43528</v>
      </c>
      <c r="O565" s="2">
        <v>0.51597222222222228</v>
      </c>
      <c r="P565" t="s">
        <v>30</v>
      </c>
      <c r="Q565">
        <v>73.099999999999994</v>
      </c>
      <c r="R565">
        <v>4.7619047620000003</v>
      </c>
      <c r="S565">
        <v>3.6549999999999998</v>
      </c>
      <c r="T565">
        <v>4.4000000000000004</v>
      </c>
    </row>
    <row r="566" spans="1:20" x14ac:dyDescent="0.3">
      <c r="A566">
        <v>302</v>
      </c>
      <c r="C566">
        <v>15</v>
      </c>
      <c r="D566">
        <v>2162</v>
      </c>
      <c r="E566" t="s">
        <v>26</v>
      </c>
      <c r="F566" t="s">
        <v>27</v>
      </c>
      <c r="G566" t="s">
        <v>22</v>
      </c>
      <c r="H566" t="s">
        <v>38</v>
      </c>
      <c r="I566" t="s">
        <v>24</v>
      </c>
      <c r="J566">
        <v>46.53</v>
      </c>
      <c r="K566">
        <v>6</v>
      </c>
      <c r="L566">
        <v>13.959</v>
      </c>
      <c r="M566">
        <v>293.13900000000001</v>
      </c>
      <c r="N566" s="1">
        <v>43527</v>
      </c>
      <c r="O566" s="2">
        <v>0.45416666666666666</v>
      </c>
      <c r="P566" t="s">
        <v>32</v>
      </c>
      <c r="Q566">
        <v>279.18</v>
      </c>
      <c r="R566">
        <v>4.7619047620000003</v>
      </c>
      <c r="S566">
        <v>13.959</v>
      </c>
      <c r="T566">
        <v>4.3</v>
      </c>
    </row>
    <row r="567" spans="1:20" x14ac:dyDescent="0.3">
      <c r="A567">
        <v>788</v>
      </c>
      <c r="C567">
        <v>7</v>
      </c>
      <c r="D567">
        <v>8452</v>
      </c>
      <c r="E567" t="s">
        <v>26</v>
      </c>
      <c r="F567" t="s">
        <v>27</v>
      </c>
      <c r="G567" t="s">
        <v>22</v>
      </c>
      <c r="H567" t="s">
        <v>23</v>
      </c>
      <c r="I567" t="s">
        <v>31</v>
      </c>
      <c r="J567">
        <v>24.24</v>
      </c>
      <c r="K567">
        <v>7</v>
      </c>
      <c r="L567">
        <v>8.484</v>
      </c>
      <c r="M567">
        <v>178.16399999999999</v>
      </c>
      <c r="N567" s="1">
        <v>43492</v>
      </c>
      <c r="O567" s="2">
        <v>0.73472222222222228</v>
      </c>
      <c r="P567" t="s">
        <v>25</v>
      </c>
      <c r="Q567">
        <v>169.68</v>
      </c>
      <c r="R567">
        <v>4.7619047620000003</v>
      </c>
      <c r="S567">
        <v>8.484</v>
      </c>
      <c r="T567">
        <v>9.4</v>
      </c>
    </row>
    <row r="568" spans="1:20" x14ac:dyDescent="0.3">
      <c r="A568">
        <v>560</v>
      </c>
      <c r="C568">
        <v>49</v>
      </c>
      <c r="D568">
        <v>6611</v>
      </c>
      <c r="E568" t="s">
        <v>20</v>
      </c>
      <c r="F568" t="s">
        <v>21</v>
      </c>
      <c r="G568" t="s">
        <v>22</v>
      </c>
      <c r="H568" t="s">
        <v>23</v>
      </c>
      <c r="I568" t="s">
        <v>33</v>
      </c>
      <c r="J568">
        <v>45.58</v>
      </c>
      <c r="K568">
        <v>1</v>
      </c>
      <c r="L568">
        <v>2.2789999999999999</v>
      </c>
      <c r="M568">
        <v>47.859000000000002</v>
      </c>
      <c r="N568" s="1">
        <v>43503</v>
      </c>
      <c r="O568" s="2">
        <v>0.59236111111111112</v>
      </c>
      <c r="P568" t="s">
        <v>30</v>
      </c>
      <c r="Q568">
        <v>45.58</v>
      </c>
      <c r="R568">
        <v>4.7619047620000003</v>
      </c>
      <c r="S568">
        <v>2.2789999999999999</v>
      </c>
      <c r="T568">
        <v>9.8000000000000007</v>
      </c>
    </row>
    <row r="569" spans="1:20" x14ac:dyDescent="0.3">
      <c r="A569">
        <v>880</v>
      </c>
      <c r="C569">
        <v>35</v>
      </c>
      <c r="D569">
        <v>356</v>
      </c>
      <c r="E569" t="s">
        <v>20</v>
      </c>
      <c r="F569" t="s">
        <v>21</v>
      </c>
      <c r="G569" t="s">
        <v>22</v>
      </c>
      <c r="H569" t="s">
        <v>23</v>
      </c>
      <c r="I569" t="s">
        <v>33</v>
      </c>
      <c r="J569">
        <v>75.2</v>
      </c>
      <c r="K569">
        <v>3</v>
      </c>
      <c r="L569">
        <v>11.28</v>
      </c>
      <c r="M569">
        <v>236.88</v>
      </c>
      <c r="N569" s="1">
        <v>43501</v>
      </c>
      <c r="O569" s="2">
        <v>0.49375000000000002</v>
      </c>
      <c r="P569" t="s">
        <v>25</v>
      </c>
      <c r="Q569">
        <v>225.6</v>
      </c>
      <c r="R569">
        <v>4.7619047620000003</v>
      </c>
      <c r="S569">
        <v>11.28</v>
      </c>
      <c r="T569">
        <v>4.8</v>
      </c>
    </row>
    <row r="570" spans="1:20" x14ac:dyDescent="0.3">
      <c r="A570">
        <v>585</v>
      </c>
      <c r="C570">
        <v>11</v>
      </c>
      <c r="D570">
        <v>6748</v>
      </c>
      <c r="E570" t="s">
        <v>34</v>
      </c>
      <c r="F570" t="s">
        <v>35</v>
      </c>
      <c r="G570" t="s">
        <v>22</v>
      </c>
      <c r="H570" t="s">
        <v>38</v>
      </c>
      <c r="I570" t="s">
        <v>33</v>
      </c>
      <c r="J570">
        <v>96.8</v>
      </c>
      <c r="K570">
        <v>3</v>
      </c>
      <c r="L570">
        <v>14.52</v>
      </c>
      <c r="M570">
        <v>304.92</v>
      </c>
      <c r="N570" s="1">
        <v>43539</v>
      </c>
      <c r="O570" s="2">
        <v>0.54513888888888884</v>
      </c>
      <c r="P570" t="s">
        <v>30</v>
      </c>
      <c r="Q570">
        <v>290.39999999999998</v>
      </c>
      <c r="R570">
        <v>4.7619047620000003</v>
      </c>
      <c r="S570">
        <v>14.52</v>
      </c>
      <c r="T570">
        <v>5.3</v>
      </c>
    </row>
    <row r="571" spans="1:20" x14ac:dyDescent="0.3">
      <c r="A571">
        <v>470</v>
      </c>
      <c r="C571">
        <v>31</v>
      </c>
      <c r="D571">
        <v>3286</v>
      </c>
      <c r="E571" t="s">
        <v>34</v>
      </c>
      <c r="F571" t="s">
        <v>35</v>
      </c>
      <c r="G571" t="s">
        <v>28</v>
      </c>
      <c r="H571" t="s">
        <v>38</v>
      </c>
      <c r="I571" t="s">
        <v>24</v>
      </c>
      <c r="J571">
        <v>14.82</v>
      </c>
      <c r="K571">
        <v>3</v>
      </c>
      <c r="L571">
        <v>2.2229999999999999</v>
      </c>
      <c r="M571">
        <v>46.683</v>
      </c>
      <c r="N571" s="1">
        <v>43525</v>
      </c>
      <c r="O571" s="2">
        <v>0.47916666666666669</v>
      </c>
      <c r="P571" t="s">
        <v>32</v>
      </c>
      <c r="Q571">
        <v>44.46</v>
      </c>
      <c r="R571">
        <v>4.7619047620000003</v>
      </c>
      <c r="S571">
        <v>2.2229999999999999</v>
      </c>
      <c r="T571">
        <v>8.6999999999999993</v>
      </c>
    </row>
    <row r="572" spans="1:20" x14ac:dyDescent="0.3">
      <c r="A572">
        <v>152</v>
      </c>
      <c r="C572">
        <v>68</v>
      </c>
      <c r="D572">
        <v>2907</v>
      </c>
      <c r="E572" t="s">
        <v>20</v>
      </c>
      <c r="F572" t="s">
        <v>21</v>
      </c>
      <c r="G572" t="s">
        <v>28</v>
      </c>
      <c r="H572" t="s">
        <v>38</v>
      </c>
      <c r="I572" t="s">
        <v>36</v>
      </c>
      <c r="J572">
        <v>52.2</v>
      </c>
      <c r="K572">
        <v>3</v>
      </c>
      <c r="L572">
        <v>7.83</v>
      </c>
      <c r="M572">
        <v>164.43</v>
      </c>
      <c r="N572" s="1">
        <v>43511</v>
      </c>
      <c r="O572" s="2">
        <v>0.5625</v>
      </c>
      <c r="P572" t="s">
        <v>32</v>
      </c>
      <c r="Q572">
        <v>156.6</v>
      </c>
      <c r="R572">
        <v>4.7619047620000003</v>
      </c>
      <c r="S572">
        <v>7.83</v>
      </c>
      <c r="T572">
        <v>9.5</v>
      </c>
    </row>
    <row r="573" spans="1:20" x14ac:dyDescent="0.3">
      <c r="A573">
        <v>123</v>
      </c>
      <c r="C573">
        <v>35</v>
      </c>
      <c r="D573">
        <v>4896</v>
      </c>
      <c r="E573" t="s">
        <v>26</v>
      </c>
      <c r="F573" t="s">
        <v>27</v>
      </c>
      <c r="G573" t="s">
        <v>28</v>
      </c>
      <c r="H573" t="s">
        <v>23</v>
      </c>
      <c r="I573" t="s">
        <v>33</v>
      </c>
      <c r="J573">
        <v>46.66</v>
      </c>
      <c r="K573">
        <v>9</v>
      </c>
      <c r="L573">
        <v>20.997</v>
      </c>
      <c r="M573">
        <v>440.93700000000001</v>
      </c>
      <c r="N573" s="1">
        <v>43513</v>
      </c>
      <c r="O573" s="2">
        <v>0.7993055555555556</v>
      </c>
      <c r="P573" t="s">
        <v>25</v>
      </c>
      <c r="Q573">
        <v>419.94</v>
      </c>
      <c r="R573">
        <v>4.7619047620000003</v>
      </c>
      <c r="S573">
        <v>20.997</v>
      </c>
      <c r="T573">
        <v>5.3</v>
      </c>
    </row>
    <row r="574" spans="1:20" x14ac:dyDescent="0.3">
      <c r="A574">
        <v>258</v>
      </c>
      <c r="C574">
        <v>69</v>
      </c>
      <c r="D574">
        <v>7810</v>
      </c>
      <c r="E574" t="s">
        <v>26</v>
      </c>
      <c r="F574" t="s">
        <v>27</v>
      </c>
      <c r="G574" t="s">
        <v>28</v>
      </c>
      <c r="H574" t="s">
        <v>23</v>
      </c>
      <c r="I574" t="s">
        <v>37</v>
      </c>
      <c r="J574">
        <v>36.85</v>
      </c>
      <c r="K574">
        <v>5</v>
      </c>
      <c r="L574">
        <v>9.2125000000000004</v>
      </c>
      <c r="M574">
        <v>193.46250000000001</v>
      </c>
      <c r="N574" s="1">
        <v>43491</v>
      </c>
      <c r="O574" s="2">
        <v>0.78680555555555554</v>
      </c>
      <c r="P574" t="s">
        <v>30</v>
      </c>
      <c r="Q574">
        <v>184.25</v>
      </c>
      <c r="R574">
        <v>4.7619047620000003</v>
      </c>
      <c r="S574">
        <v>9.2125000000000004</v>
      </c>
      <c r="T574">
        <v>9.1999999999999993</v>
      </c>
    </row>
    <row r="575" spans="1:20" x14ac:dyDescent="0.3">
      <c r="A575">
        <v>334</v>
      </c>
      <c r="C575">
        <v>64</v>
      </c>
      <c r="D575">
        <v>2006</v>
      </c>
      <c r="E575" t="s">
        <v>20</v>
      </c>
      <c r="F575" t="s">
        <v>21</v>
      </c>
      <c r="G575" t="s">
        <v>22</v>
      </c>
      <c r="H575" t="s">
        <v>23</v>
      </c>
      <c r="I575" t="s">
        <v>31</v>
      </c>
      <c r="J575">
        <v>70.319999999999993</v>
      </c>
      <c r="K575">
        <v>2</v>
      </c>
      <c r="L575">
        <v>7.032</v>
      </c>
      <c r="M575">
        <v>147.672</v>
      </c>
      <c r="N575" s="1">
        <v>43548</v>
      </c>
      <c r="O575" s="2">
        <v>0.59861111111111109</v>
      </c>
      <c r="P575" t="s">
        <v>25</v>
      </c>
      <c r="Q575">
        <v>140.63999999999999</v>
      </c>
      <c r="R575">
        <v>4.7619047620000003</v>
      </c>
      <c r="S575">
        <v>7.032</v>
      </c>
      <c r="T575">
        <v>9.6</v>
      </c>
    </row>
    <row r="576" spans="1:20" x14ac:dyDescent="0.3">
      <c r="A576">
        <v>219</v>
      </c>
      <c r="C576">
        <v>61</v>
      </c>
      <c r="D576">
        <v>4139</v>
      </c>
      <c r="E576" t="s">
        <v>26</v>
      </c>
      <c r="F576" t="s">
        <v>27</v>
      </c>
      <c r="G576" t="s">
        <v>28</v>
      </c>
      <c r="H576" t="s">
        <v>38</v>
      </c>
      <c r="I576" t="s">
        <v>29</v>
      </c>
      <c r="J576">
        <v>83.08</v>
      </c>
      <c r="K576">
        <v>1</v>
      </c>
      <c r="L576">
        <v>4.1539999999999999</v>
      </c>
      <c r="M576">
        <v>87.233999999999995</v>
      </c>
      <c r="N576" s="1">
        <v>43488</v>
      </c>
      <c r="O576" s="2">
        <v>0.71944444444444444</v>
      </c>
      <c r="P576" t="s">
        <v>25</v>
      </c>
      <c r="Q576">
        <v>83.08</v>
      </c>
      <c r="R576">
        <v>4.7619047620000003</v>
      </c>
      <c r="S576">
        <v>4.1539999999999999</v>
      </c>
      <c r="T576">
        <v>6.4</v>
      </c>
    </row>
    <row r="577" spans="1:20" x14ac:dyDescent="0.3">
      <c r="A577">
        <v>881</v>
      </c>
      <c r="C577">
        <v>41</v>
      </c>
      <c r="D577">
        <v>7302</v>
      </c>
      <c r="E577" t="s">
        <v>26</v>
      </c>
      <c r="F577" t="s">
        <v>27</v>
      </c>
      <c r="G577" t="s">
        <v>28</v>
      </c>
      <c r="H577" t="s">
        <v>23</v>
      </c>
      <c r="I577" t="s">
        <v>37</v>
      </c>
      <c r="J577">
        <v>64.989999999999995</v>
      </c>
      <c r="K577">
        <v>1</v>
      </c>
      <c r="L577">
        <v>3.2494999999999998</v>
      </c>
      <c r="M577">
        <v>68.239500000000007</v>
      </c>
      <c r="N577" s="1">
        <v>43491</v>
      </c>
      <c r="O577" s="2">
        <v>0.42083333333333334</v>
      </c>
      <c r="P577" t="s">
        <v>32</v>
      </c>
      <c r="Q577">
        <v>64.989999999999995</v>
      </c>
      <c r="R577">
        <v>4.7619047620000003</v>
      </c>
      <c r="S577">
        <v>3.2494999999999998</v>
      </c>
      <c r="T577">
        <v>4.5</v>
      </c>
    </row>
    <row r="578" spans="1:20" x14ac:dyDescent="0.3">
      <c r="A578">
        <v>373</v>
      </c>
      <c r="C578">
        <v>9</v>
      </c>
      <c r="D578">
        <v>4567</v>
      </c>
      <c r="E578" t="s">
        <v>26</v>
      </c>
      <c r="F578" t="s">
        <v>27</v>
      </c>
      <c r="G578" t="s">
        <v>28</v>
      </c>
      <c r="H578" t="s">
        <v>38</v>
      </c>
      <c r="I578" t="s">
        <v>36</v>
      </c>
      <c r="J578">
        <v>77.56</v>
      </c>
      <c r="K578">
        <v>10</v>
      </c>
      <c r="L578">
        <v>38.78</v>
      </c>
      <c r="M578">
        <v>814.38</v>
      </c>
      <c r="N578" s="1">
        <v>43538</v>
      </c>
      <c r="O578" s="2">
        <v>0.85763888888888884</v>
      </c>
      <c r="P578" t="s">
        <v>25</v>
      </c>
      <c r="Q578">
        <v>775.6</v>
      </c>
      <c r="R578">
        <v>4.7619047620000003</v>
      </c>
      <c r="S578">
        <v>38.78</v>
      </c>
      <c r="T578">
        <v>6.9</v>
      </c>
    </row>
    <row r="579" spans="1:20" x14ac:dyDescent="0.3">
      <c r="A579">
        <v>642</v>
      </c>
      <c r="C579">
        <v>30</v>
      </c>
      <c r="D579">
        <v>6693</v>
      </c>
      <c r="E579" t="s">
        <v>34</v>
      </c>
      <c r="F579" t="s">
        <v>35</v>
      </c>
      <c r="G579" t="s">
        <v>28</v>
      </c>
      <c r="H579" t="s">
        <v>23</v>
      </c>
      <c r="I579" t="s">
        <v>33</v>
      </c>
      <c r="J579">
        <v>54.51</v>
      </c>
      <c r="K579">
        <v>6</v>
      </c>
      <c r="L579">
        <v>16.353000000000002</v>
      </c>
      <c r="M579">
        <v>343.41300000000001</v>
      </c>
      <c r="N579" s="1">
        <v>43541</v>
      </c>
      <c r="O579" s="2">
        <v>0.57916666666666672</v>
      </c>
      <c r="P579" t="s">
        <v>25</v>
      </c>
      <c r="Q579">
        <v>327.06</v>
      </c>
      <c r="R579">
        <v>4.7619047620000003</v>
      </c>
      <c r="S579">
        <v>16.353000000000002</v>
      </c>
      <c r="T579">
        <v>7.8</v>
      </c>
    </row>
    <row r="580" spans="1:20" x14ac:dyDescent="0.3">
      <c r="A580">
        <v>484</v>
      </c>
      <c r="C580">
        <v>22</v>
      </c>
      <c r="D580">
        <v>8230</v>
      </c>
      <c r="E580" t="s">
        <v>26</v>
      </c>
      <c r="F580" t="s">
        <v>27</v>
      </c>
      <c r="G580" t="s">
        <v>22</v>
      </c>
      <c r="H580" t="s">
        <v>23</v>
      </c>
      <c r="I580" t="s">
        <v>37</v>
      </c>
      <c r="J580">
        <v>51.89</v>
      </c>
      <c r="K580">
        <v>7</v>
      </c>
      <c r="L580">
        <v>18.1615</v>
      </c>
      <c r="M580">
        <v>381.39150000000001</v>
      </c>
      <c r="N580" s="1">
        <v>43473</v>
      </c>
      <c r="O580" s="2">
        <v>0.83888888888888891</v>
      </c>
      <c r="P580" t="s">
        <v>30</v>
      </c>
      <c r="Q580">
        <v>363.23</v>
      </c>
      <c r="R580">
        <v>4.7619047620000003</v>
      </c>
      <c r="S580">
        <v>18.1615</v>
      </c>
      <c r="T580">
        <v>4.5</v>
      </c>
    </row>
    <row r="581" spans="1:20" x14ac:dyDescent="0.3">
      <c r="A581">
        <v>830</v>
      </c>
      <c r="C581">
        <v>58</v>
      </c>
      <c r="D581">
        <v>2383</v>
      </c>
      <c r="E581" t="s">
        <v>34</v>
      </c>
      <c r="F581" t="s">
        <v>35</v>
      </c>
      <c r="G581" t="s">
        <v>28</v>
      </c>
      <c r="H581" t="s">
        <v>38</v>
      </c>
      <c r="I581" t="s">
        <v>31</v>
      </c>
      <c r="J581">
        <v>31.75</v>
      </c>
      <c r="K581">
        <v>4</v>
      </c>
      <c r="L581">
        <v>6.35</v>
      </c>
      <c r="M581">
        <v>133.35</v>
      </c>
      <c r="N581" s="1">
        <v>43504</v>
      </c>
      <c r="O581" s="2">
        <v>0.6430555555555556</v>
      </c>
      <c r="P581" t="s">
        <v>30</v>
      </c>
      <c r="Q581">
        <v>127</v>
      </c>
      <c r="R581">
        <v>4.7619047620000003</v>
      </c>
      <c r="S581">
        <v>6.35</v>
      </c>
      <c r="T581">
        <v>8.6</v>
      </c>
    </row>
    <row r="582" spans="1:20" x14ac:dyDescent="0.3">
      <c r="A582">
        <v>559</v>
      </c>
      <c r="C582">
        <v>98</v>
      </c>
      <c r="D582">
        <v>9873</v>
      </c>
      <c r="E582" t="s">
        <v>20</v>
      </c>
      <c r="F582" t="s">
        <v>21</v>
      </c>
      <c r="G582" t="s">
        <v>22</v>
      </c>
      <c r="H582" t="s">
        <v>23</v>
      </c>
      <c r="I582" t="s">
        <v>37</v>
      </c>
      <c r="J582">
        <v>53.65</v>
      </c>
      <c r="K582">
        <v>7</v>
      </c>
      <c r="L582">
        <v>18.7775</v>
      </c>
      <c r="M582">
        <v>394.32749999999999</v>
      </c>
      <c r="N582" s="1">
        <v>43506</v>
      </c>
      <c r="O582" s="2">
        <v>0.53888888888888886</v>
      </c>
      <c r="P582" t="s">
        <v>25</v>
      </c>
      <c r="Q582">
        <v>375.55</v>
      </c>
      <c r="R582">
        <v>4.7619047620000003</v>
      </c>
      <c r="S582">
        <v>18.7775</v>
      </c>
      <c r="T582">
        <v>5.2</v>
      </c>
    </row>
    <row r="583" spans="1:20" x14ac:dyDescent="0.3">
      <c r="A583">
        <v>544</v>
      </c>
      <c r="C583">
        <v>32</v>
      </c>
      <c r="D583">
        <v>5024</v>
      </c>
      <c r="E583" t="s">
        <v>26</v>
      </c>
      <c r="F583" t="s">
        <v>27</v>
      </c>
      <c r="G583" t="s">
        <v>22</v>
      </c>
      <c r="H583" t="s">
        <v>23</v>
      </c>
      <c r="I583" t="s">
        <v>36</v>
      </c>
      <c r="J583">
        <v>49.79</v>
      </c>
      <c r="K583">
        <v>4</v>
      </c>
      <c r="L583">
        <v>9.9580000000000002</v>
      </c>
      <c r="M583">
        <v>209.11799999999999</v>
      </c>
      <c r="N583" s="1">
        <v>43552</v>
      </c>
      <c r="O583" s="2">
        <v>0.80277777777777781</v>
      </c>
      <c r="P583" t="s">
        <v>32</v>
      </c>
      <c r="Q583">
        <v>199.16</v>
      </c>
      <c r="R583">
        <v>4.7619047620000003</v>
      </c>
      <c r="S583">
        <v>9.9580000000000002</v>
      </c>
      <c r="T583">
        <v>6.4</v>
      </c>
    </row>
    <row r="584" spans="1:20" x14ac:dyDescent="0.3">
      <c r="A584">
        <v>318</v>
      </c>
      <c r="C584">
        <v>12</v>
      </c>
      <c r="D584">
        <v>304</v>
      </c>
      <c r="E584" t="s">
        <v>20</v>
      </c>
      <c r="F584" t="s">
        <v>21</v>
      </c>
      <c r="G584" t="s">
        <v>28</v>
      </c>
      <c r="H584" t="s">
        <v>38</v>
      </c>
      <c r="I584" t="s">
        <v>37</v>
      </c>
      <c r="J584">
        <v>30.61</v>
      </c>
      <c r="K584">
        <v>1</v>
      </c>
      <c r="L584">
        <v>1.5305</v>
      </c>
      <c r="M584">
        <v>32.140500000000003</v>
      </c>
      <c r="N584" s="1">
        <v>43488</v>
      </c>
      <c r="O584" s="2">
        <v>0.51388888888888884</v>
      </c>
      <c r="P584" t="s">
        <v>25</v>
      </c>
      <c r="Q584">
        <v>30.61</v>
      </c>
      <c r="R584">
        <v>4.7619047620000003</v>
      </c>
      <c r="S584">
        <v>1.5305</v>
      </c>
      <c r="T584">
        <v>5.2</v>
      </c>
    </row>
    <row r="585" spans="1:20" x14ac:dyDescent="0.3">
      <c r="A585">
        <v>349</v>
      </c>
      <c r="C585">
        <v>97</v>
      </c>
      <c r="D585">
        <v>8902</v>
      </c>
      <c r="E585" t="s">
        <v>34</v>
      </c>
      <c r="F585" t="s">
        <v>35</v>
      </c>
      <c r="G585" t="s">
        <v>22</v>
      </c>
      <c r="H585" t="s">
        <v>38</v>
      </c>
      <c r="I585" t="s">
        <v>36</v>
      </c>
      <c r="J585">
        <v>57.89</v>
      </c>
      <c r="K585">
        <v>2</v>
      </c>
      <c r="L585">
        <v>5.7889999999999997</v>
      </c>
      <c r="M585">
        <v>121.569</v>
      </c>
      <c r="N585" s="1">
        <v>43482</v>
      </c>
      <c r="O585" s="2">
        <v>0.44236111111111109</v>
      </c>
      <c r="P585" t="s">
        <v>25</v>
      </c>
      <c r="Q585">
        <v>115.78</v>
      </c>
      <c r="R585">
        <v>4.7619047620000003</v>
      </c>
      <c r="S585">
        <v>5.7889999999999997</v>
      </c>
      <c r="T585">
        <v>8.9</v>
      </c>
    </row>
    <row r="586" spans="1:20" x14ac:dyDescent="0.3">
      <c r="A586">
        <v>421</v>
      </c>
      <c r="C586">
        <v>95</v>
      </c>
      <c r="D586">
        <v>9805</v>
      </c>
      <c r="E586" t="s">
        <v>20</v>
      </c>
      <c r="F586" t="s">
        <v>21</v>
      </c>
      <c r="G586" t="s">
        <v>28</v>
      </c>
      <c r="H586" t="s">
        <v>23</v>
      </c>
      <c r="I586" t="s">
        <v>29</v>
      </c>
      <c r="J586">
        <v>28.96</v>
      </c>
      <c r="K586">
        <v>1</v>
      </c>
      <c r="L586">
        <v>1.448</v>
      </c>
      <c r="M586">
        <v>30.408000000000001</v>
      </c>
      <c r="N586" s="1">
        <v>43503</v>
      </c>
      <c r="O586" s="2">
        <v>0.42916666666666664</v>
      </c>
      <c r="P586" t="s">
        <v>32</v>
      </c>
      <c r="Q586">
        <v>28.96</v>
      </c>
      <c r="R586">
        <v>4.7619047620000003</v>
      </c>
      <c r="S586">
        <v>1.448</v>
      </c>
      <c r="T586">
        <v>6.2</v>
      </c>
    </row>
    <row r="587" spans="1:20" x14ac:dyDescent="0.3">
      <c r="A587">
        <v>277</v>
      </c>
      <c r="C587">
        <v>35</v>
      </c>
      <c r="D587">
        <v>5865</v>
      </c>
      <c r="E587" t="s">
        <v>26</v>
      </c>
      <c r="F587" t="s">
        <v>27</v>
      </c>
      <c r="G587" t="s">
        <v>22</v>
      </c>
      <c r="H587" t="s">
        <v>23</v>
      </c>
      <c r="I587" t="s">
        <v>36</v>
      </c>
      <c r="J587">
        <v>98.97</v>
      </c>
      <c r="K587">
        <v>9</v>
      </c>
      <c r="L587">
        <v>44.536499999999997</v>
      </c>
      <c r="M587">
        <v>935.26649999999995</v>
      </c>
      <c r="N587" s="1">
        <v>43533</v>
      </c>
      <c r="O587" s="2">
        <v>0.47430555555555554</v>
      </c>
      <c r="P587" t="s">
        <v>30</v>
      </c>
      <c r="Q587">
        <v>890.73</v>
      </c>
      <c r="R587">
        <v>4.7619047620000003</v>
      </c>
      <c r="S587">
        <v>44.536499999999997</v>
      </c>
      <c r="T587">
        <v>6.7</v>
      </c>
    </row>
    <row r="588" spans="1:20" x14ac:dyDescent="0.3">
      <c r="A588">
        <v>789</v>
      </c>
      <c r="C588">
        <v>23</v>
      </c>
      <c r="D588">
        <v>8625</v>
      </c>
      <c r="E588" t="s">
        <v>34</v>
      </c>
      <c r="F588" t="s">
        <v>35</v>
      </c>
      <c r="G588" t="s">
        <v>22</v>
      </c>
      <c r="H588" t="s">
        <v>38</v>
      </c>
      <c r="I588" t="s">
        <v>37</v>
      </c>
      <c r="J588">
        <v>93.22</v>
      </c>
      <c r="K588">
        <v>3</v>
      </c>
      <c r="L588">
        <v>13.983000000000001</v>
      </c>
      <c r="M588">
        <v>293.64299999999997</v>
      </c>
      <c r="N588" s="1">
        <v>43489</v>
      </c>
      <c r="O588" s="2">
        <v>0.48958333333333331</v>
      </c>
      <c r="P588" t="s">
        <v>30</v>
      </c>
      <c r="Q588">
        <v>279.66000000000003</v>
      </c>
      <c r="R588">
        <v>4.7619047620000003</v>
      </c>
      <c r="S588">
        <v>13.983000000000001</v>
      </c>
      <c r="T588">
        <v>7.2</v>
      </c>
    </row>
    <row r="589" spans="1:20" x14ac:dyDescent="0.3">
      <c r="A589">
        <v>284</v>
      </c>
      <c r="C589">
        <v>54</v>
      </c>
      <c r="D589">
        <v>4231</v>
      </c>
      <c r="E589" t="s">
        <v>26</v>
      </c>
      <c r="F589" t="s">
        <v>27</v>
      </c>
      <c r="G589" t="s">
        <v>22</v>
      </c>
      <c r="H589" t="s">
        <v>38</v>
      </c>
      <c r="I589" t="s">
        <v>33</v>
      </c>
      <c r="J589">
        <v>80.930000000000007</v>
      </c>
      <c r="K589">
        <v>1</v>
      </c>
      <c r="L589">
        <v>4.0465</v>
      </c>
      <c r="M589">
        <v>84.976500000000001</v>
      </c>
      <c r="N589" s="1">
        <v>43484</v>
      </c>
      <c r="O589" s="2">
        <v>0.67222222222222228</v>
      </c>
      <c r="P589" t="s">
        <v>32</v>
      </c>
      <c r="Q589">
        <v>80.930000000000007</v>
      </c>
      <c r="R589">
        <v>4.7619047620000003</v>
      </c>
      <c r="S589">
        <v>4.0465</v>
      </c>
      <c r="T589">
        <v>9</v>
      </c>
    </row>
    <row r="590" spans="1:20" x14ac:dyDescent="0.3">
      <c r="A590">
        <v>443</v>
      </c>
      <c r="C590">
        <v>59</v>
      </c>
      <c r="D590">
        <v>61</v>
      </c>
      <c r="E590" t="s">
        <v>20</v>
      </c>
      <c r="F590" t="s">
        <v>21</v>
      </c>
      <c r="G590" t="s">
        <v>22</v>
      </c>
      <c r="H590" t="s">
        <v>38</v>
      </c>
      <c r="I590" t="s">
        <v>36</v>
      </c>
      <c r="J590">
        <v>67.45</v>
      </c>
      <c r="K590">
        <v>10</v>
      </c>
      <c r="L590">
        <v>33.725000000000001</v>
      </c>
      <c r="M590">
        <v>708.22500000000002</v>
      </c>
      <c r="N590" s="1">
        <v>43499</v>
      </c>
      <c r="O590" s="2">
        <v>0.47569444444444442</v>
      </c>
      <c r="P590" t="s">
        <v>25</v>
      </c>
      <c r="Q590">
        <v>674.5</v>
      </c>
      <c r="R590">
        <v>4.7619047620000003</v>
      </c>
      <c r="S590">
        <v>33.725000000000001</v>
      </c>
      <c r="T590">
        <v>4.2</v>
      </c>
    </row>
    <row r="591" spans="1:20" x14ac:dyDescent="0.3">
      <c r="A591">
        <v>509</v>
      </c>
      <c r="C591">
        <v>29</v>
      </c>
      <c r="D591">
        <v>3912</v>
      </c>
      <c r="E591" t="s">
        <v>20</v>
      </c>
      <c r="F591" t="s">
        <v>21</v>
      </c>
      <c r="G591" t="s">
        <v>22</v>
      </c>
      <c r="H591" t="s">
        <v>23</v>
      </c>
      <c r="I591" t="s">
        <v>33</v>
      </c>
      <c r="J591">
        <v>38.72</v>
      </c>
      <c r="K591">
        <v>9</v>
      </c>
      <c r="L591">
        <v>17.423999999999999</v>
      </c>
      <c r="M591">
        <v>365.904</v>
      </c>
      <c r="N591" s="1">
        <v>43544</v>
      </c>
      <c r="O591" s="2">
        <v>0.51666666666666672</v>
      </c>
      <c r="P591" t="s">
        <v>25</v>
      </c>
      <c r="Q591">
        <v>348.48</v>
      </c>
      <c r="R591">
        <v>4.7619047620000003</v>
      </c>
      <c r="S591">
        <v>17.423999999999999</v>
      </c>
      <c r="T591">
        <v>4.2</v>
      </c>
    </row>
    <row r="592" spans="1:20" x14ac:dyDescent="0.3">
      <c r="A592">
        <v>327</v>
      </c>
      <c r="C592">
        <v>40</v>
      </c>
      <c r="D592">
        <v>9673</v>
      </c>
      <c r="E592" t="s">
        <v>34</v>
      </c>
      <c r="F592" t="s">
        <v>35</v>
      </c>
      <c r="G592" t="s">
        <v>22</v>
      </c>
      <c r="H592" t="s">
        <v>38</v>
      </c>
      <c r="I592" t="s">
        <v>33</v>
      </c>
      <c r="J592">
        <v>72.599999999999994</v>
      </c>
      <c r="K592">
        <v>6</v>
      </c>
      <c r="L592">
        <v>21.78</v>
      </c>
      <c r="M592">
        <v>457.38</v>
      </c>
      <c r="N592" s="1">
        <v>43478</v>
      </c>
      <c r="O592" s="2">
        <v>0.82708333333333328</v>
      </c>
      <c r="P592" t="s">
        <v>30</v>
      </c>
      <c r="Q592">
        <v>435.6</v>
      </c>
      <c r="R592">
        <v>4.7619047620000003</v>
      </c>
      <c r="S592">
        <v>21.78</v>
      </c>
      <c r="T592">
        <v>6.9</v>
      </c>
    </row>
    <row r="593" spans="1:20" x14ac:dyDescent="0.3">
      <c r="A593">
        <v>840</v>
      </c>
      <c r="C593">
        <v>19</v>
      </c>
      <c r="D593">
        <v>2096</v>
      </c>
      <c r="E593" t="s">
        <v>26</v>
      </c>
      <c r="F593" t="s">
        <v>27</v>
      </c>
      <c r="G593" t="s">
        <v>22</v>
      </c>
      <c r="H593" t="s">
        <v>38</v>
      </c>
      <c r="I593" t="s">
        <v>29</v>
      </c>
      <c r="J593">
        <v>87.91</v>
      </c>
      <c r="K593">
        <v>5</v>
      </c>
      <c r="L593">
        <v>21.977499999999999</v>
      </c>
      <c r="M593">
        <v>461.52749999999997</v>
      </c>
      <c r="N593" s="1">
        <v>43538</v>
      </c>
      <c r="O593" s="2">
        <v>0.75694444444444442</v>
      </c>
      <c r="P593" t="s">
        <v>25</v>
      </c>
      <c r="Q593">
        <v>439.55</v>
      </c>
      <c r="R593">
        <v>4.7619047620000003</v>
      </c>
      <c r="S593">
        <v>21.977499999999999</v>
      </c>
      <c r="T593">
        <v>4.4000000000000004</v>
      </c>
    </row>
    <row r="594" spans="1:20" x14ac:dyDescent="0.3">
      <c r="A594">
        <v>828</v>
      </c>
      <c r="C594">
        <v>46</v>
      </c>
      <c r="D594">
        <v>6863</v>
      </c>
      <c r="E594" t="s">
        <v>20</v>
      </c>
      <c r="F594" t="s">
        <v>21</v>
      </c>
      <c r="G594" t="s">
        <v>22</v>
      </c>
      <c r="H594" t="s">
        <v>38</v>
      </c>
      <c r="I594" t="s">
        <v>36</v>
      </c>
      <c r="J594">
        <v>98.53</v>
      </c>
      <c r="K594">
        <v>6</v>
      </c>
      <c r="L594">
        <v>29.559000000000001</v>
      </c>
      <c r="M594">
        <v>620.73900000000003</v>
      </c>
      <c r="N594" s="1">
        <v>43488</v>
      </c>
      <c r="O594" s="2">
        <v>0.47361111111111109</v>
      </c>
      <c r="P594" t="s">
        <v>32</v>
      </c>
      <c r="Q594">
        <v>591.17999999999995</v>
      </c>
      <c r="R594">
        <v>4.7619047620000003</v>
      </c>
      <c r="S594">
        <v>29.559000000000001</v>
      </c>
      <c r="T594">
        <v>4</v>
      </c>
    </row>
    <row r="595" spans="1:20" x14ac:dyDescent="0.3">
      <c r="A595">
        <v>641</v>
      </c>
      <c r="C595">
        <v>96</v>
      </c>
      <c r="D595">
        <v>3695</v>
      </c>
      <c r="E595" t="s">
        <v>26</v>
      </c>
      <c r="F595" t="s">
        <v>27</v>
      </c>
      <c r="G595" t="s">
        <v>22</v>
      </c>
      <c r="H595" t="s">
        <v>23</v>
      </c>
      <c r="I595" t="s">
        <v>37</v>
      </c>
      <c r="J595">
        <v>43.46</v>
      </c>
      <c r="K595">
        <v>6</v>
      </c>
      <c r="L595">
        <v>13.038</v>
      </c>
      <c r="M595">
        <v>273.798</v>
      </c>
      <c r="N595" s="1">
        <v>43503</v>
      </c>
      <c r="O595" s="2">
        <v>0.74652777777777779</v>
      </c>
      <c r="P595" t="s">
        <v>25</v>
      </c>
      <c r="Q595">
        <v>260.76</v>
      </c>
      <c r="R595">
        <v>4.7619047620000003</v>
      </c>
      <c r="S595">
        <v>13.038</v>
      </c>
      <c r="T595">
        <v>8.5</v>
      </c>
    </row>
    <row r="596" spans="1:20" x14ac:dyDescent="0.3">
      <c r="A596">
        <v>420</v>
      </c>
      <c r="C596">
        <v>97</v>
      </c>
      <c r="D596">
        <v>3340</v>
      </c>
      <c r="E596" t="s">
        <v>20</v>
      </c>
      <c r="F596" t="s">
        <v>21</v>
      </c>
      <c r="G596" t="s">
        <v>28</v>
      </c>
      <c r="H596" t="s">
        <v>23</v>
      </c>
      <c r="I596" t="s">
        <v>36</v>
      </c>
      <c r="J596">
        <v>71.680000000000007</v>
      </c>
      <c r="K596">
        <v>3</v>
      </c>
      <c r="L596">
        <v>10.752000000000001</v>
      </c>
      <c r="M596">
        <v>225.792</v>
      </c>
      <c r="N596" s="1">
        <v>43552</v>
      </c>
      <c r="O596" s="2">
        <v>0.64583333333333337</v>
      </c>
      <c r="P596" t="s">
        <v>32</v>
      </c>
      <c r="Q596">
        <v>215.04</v>
      </c>
      <c r="R596">
        <v>4.7619047620000003</v>
      </c>
      <c r="S596">
        <v>10.752000000000001</v>
      </c>
      <c r="T596">
        <v>9.1999999999999993</v>
      </c>
    </row>
    <row r="597" spans="1:20" x14ac:dyDescent="0.3">
      <c r="A597">
        <v>436</v>
      </c>
      <c r="C597">
        <v>54</v>
      </c>
      <c r="D597">
        <v>4512</v>
      </c>
      <c r="E597" t="s">
        <v>20</v>
      </c>
      <c r="F597" t="s">
        <v>21</v>
      </c>
      <c r="G597" t="s">
        <v>22</v>
      </c>
      <c r="H597" t="s">
        <v>23</v>
      </c>
      <c r="I597" t="s">
        <v>36</v>
      </c>
      <c r="J597">
        <v>91.61</v>
      </c>
      <c r="K597">
        <v>1</v>
      </c>
      <c r="L597">
        <v>4.5804999999999998</v>
      </c>
      <c r="M597">
        <v>96.1905</v>
      </c>
      <c r="N597" s="1">
        <v>43544</v>
      </c>
      <c r="O597" s="2">
        <v>0.82222222222222219</v>
      </c>
      <c r="P597" t="s">
        <v>30</v>
      </c>
      <c r="Q597">
        <v>91.61</v>
      </c>
      <c r="R597">
        <v>4.7619047620000003</v>
      </c>
      <c r="S597">
        <v>4.5804999999999998</v>
      </c>
      <c r="T597">
        <v>9.8000000000000007</v>
      </c>
    </row>
    <row r="598" spans="1:20" x14ac:dyDescent="0.3">
      <c r="A598">
        <v>670</v>
      </c>
      <c r="C598">
        <v>79</v>
      </c>
      <c r="D598">
        <v>6321</v>
      </c>
      <c r="E598" t="s">
        <v>34</v>
      </c>
      <c r="F598" t="s">
        <v>35</v>
      </c>
      <c r="G598" t="s">
        <v>22</v>
      </c>
      <c r="H598" t="s">
        <v>23</v>
      </c>
      <c r="I598" t="s">
        <v>31</v>
      </c>
      <c r="J598">
        <v>94.59</v>
      </c>
      <c r="K598">
        <v>7</v>
      </c>
      <c r="L598">
        <v>33.106499999999997</v>
      </c>
      <c r="M598">
        <v>695.23649999999998</v>
      </c>
      <c r="N598" s="1">
        <v>43482</v>
      </c>
      <c r="O598" s="2">
        <v>0.64375000000000004</v>
      </c>
      <c r="P598" t="s">
        <v>32</v>
      </c>
      <c r="Q598">
        <v>662.13</v>
      </c>
      <c r="R598">
        <v>4.7619047620000003</v>
      </c>
      <c r="S598">
        <v>33.106499999999997</v>
      </c>
      <c r="T598">
        <v>4.9000000000000004</v>
      </c>
    </row>
    <row r="599" spans="1:20" x14ac:dyDescent="0.3">
      <c r="A599">
        <v>852</v>
      </c>
      <c r="C599">
        <v>62</v>
      </c>
      <c r="D599">
        <v>7105</v>
      </c>
      <c r="E599" t="s">
        <v>34</v>
      </c>
      <c r="F599" t="s">
        <v>35</v>
      </c>
      <c r="G599" t="s">
        <v>28</v>
      </c>
      <c r="H599" t="s">
        <v>23</v>
      </c>
      <c r="I599" t="s">
        <v>37</v>
      </c>
      <c r="J599">
        <v>83.25</v>
      </c>
      <c r="K599">
        <v>10</v>
      </c>
      <c r="L599">
        <v>41.625</v>
      </c>
      <c r="M599">
        <v>874.125</v>
      </c>
      <c r="N599" s="1">
        <v>43477</v>
      </c>
      <c r="O599" s="2">
        <v>0.47569444444444442</v>
      </c>
      <c r="P599" t="s">
        <v>32</v>
      </c>
      <c r="Q599">
        <v>832.5</v>
      </c>
      <c r="R599">
        <v>4.7619047620000003</v>
      </c>
      <c r="S599">
        <v>41.625</v>
      </c>
      <c r="T599">
        <v>4.4000000000000004</v>
      </c>
    </row>
    <row r="600" spans="1:20" x14ac:dyDescent="0.3">
      <c r="A600">
        <v>598</v>
      </c>
      <c r="C600">
        <v>6</v>
      </c>
      <c r="D600">
        <v>7312</v>
      </c>
      <c r="E600" t="s">
        <v>34</v>
      </c>
      <c r="F600" t="s">
        <v>35</v>
      </c>
      <c r="G600" t="s">
        <v>22</v>
      </c>
      <c r="H600" t="s">
        <v>38</v>
      </c>
      <c r="I600" t="s">
        <v>37</v>
      </c>
      <c r="J600">
        <v>91.35</v>
      </c>
      <c r="K600">
        <v>1</v>
      </c>
      <c r="L600">
        <v>4.5674999999999999</v>
      </c>
      <c r="M600">
        <v>95.917500000000004</v>
      </c>
      <c r="N600" s="1">
        <v>43512</v>
      </c>
      <c r="O600" s="2">
        <v>0.65416666666666667</v>
      </c>
      <c r="P600" t="s">
        <v>30</v>
      </c>
      <c r="Q600">
        <v>91.35</v>
      </c>
      <c r="R600">
        <v>4.7619047620000003</v>
      </c>
      <c r="S600">
        <v>4.5674999999999999</v>
      </c>
      <c r="T600">
        <v>6.8</v>
      </c>
    </row>
    <row r="601" spans="1:20" x14ac:dyDescent="0.3">
      <c r="A601">
        <v>135</v>
      </c>
      <c r="C601">
        <v>13</v>
      </c>
      <c r="D601">
        <v>8269</v>
      </c>
      <c r="E601" t="s">
        <v>34</v>
      </c>
      <c r="F601" t="s">
        <v>35</v>
      </c>
      <c r="G601" t="s">
        <v>22</v>
      </c>
      <c r="H601" t="s">
        <v>23</v>
      </c>
      <c r="I601" t="s">
        <v>36</v>
      </c>
      <c r="J601">
        <v>78.88</v>
      </c>
      <c r="K601">
        <v>2</v>
      </c>
      <c r="L601">
        <v>7.8879999999999999</v>
      </c>
      <c r="M601">
        <v>165.648</v>
      </c>
      <c r="N601" s="1">
        <v>43491</v>
      </c>
      <c r="O601" s="2">
        <v>0.6694444444444444</v>
      </c>
      <c r="P601" t="s">
        <v>30</v>
      </c>
      <c r="Q601">
        <v>157.76</v>
      </c>
      <c r="R601">
        <v>4.7619047620000003</v>
      </c>
      <c r="S601">
        <v>7.8879999999999999</v>
      </c>
      <c r="T601">
        <v>9.1</v>
      </c>
    </row>
    <row r="602" spans="1:20" x14ac:dyDescent="0.3">
      <c r="A602">
        <v>816</v>
      </c>
      <c r="C602">
        <v>57</v>
      </c>
      <c r="D602">
        <v>2053</v>
      </c>
      <c r="E602" t="s">
        <v>20</v>
      </c>
      <c r="F602" t="s">
        <v>21</v>
      </c>
      <c r="G602" t="s">
        <v>28</v>
      </c>
      <c r="H602" t="s">
        <v>38</v>
      </c>
      <c r="I602" t="s">
        <v>33</v>
      </c>
      <c r="J602">
        <v>60.87</v>
      </c>
      <c r="K602">
        <v>2</v>
      </c>
      <c r="L602">
        <v>6.0869999999999997</v>
      </c>
      <c r="M602">
        <v>127.827</v>
      </c>
      <c r="N602" s="1">
        <v>43533</v>
      </c>
      <c r="O602" s="2">
        <v>0.52569444444444446</v>
      </c>
      <c r="P602" t="s">
        <v>25</v>
      </c>
      <c r="Q602">
        <v>121.74</v>
      </c>
      <c r="R602">
        <v>4.7619047620000003</v>
      </c>
      <c r="S602">
        <v>6.0869999999999997</v>
      </c>
      <c r="T602">
        <v>8.6999999999999993</v>
      </c>
    </row>
    <row r="603" spans="1:20" x14ac:dyDescent="0.3">
      <c r="A603">
        <v>628</v>
      </c>
      <c r="C603">
        <v>90</v>
      </c>
      <c r="D603">
        <v>8624</v>
      </c>
      <c r="E603" t="s">
        <v>34</v>
      </c>
      <c r="F603" t="s">
        <v>35</v>
      </c>
      <c r="G603" t="s">
        <v>22</v>
      </c>
      <c r="H603" t="s">
        <v>38</v>
      </c>
      <c r="I603" t="s">
        <v>24</v>
      </c>
      <c r="J603">
        <v>82.58</v>
      </c>
      <c r="K603">
        <v>10</v>
      </c>
      <c r="L603">
        <v>41.29</v>
      </c>
      <c r="M603">
        <v>867.09</v>
      </c>
      <c r="N603" s="1">
        <v>43538</v>
      </c>
      <c r="O603" s="2">
        <v>0.6118055555555556</v>
      </c>
      <c r="P603" t="s">
        <v>30</v>
      </c>
      <c r="Q603">
        <v>825.8</v>
      </c>
      <c r="R603">
        <v>4.7619047620000003</v>
      </c>
      <c r="S603">
        <v>41.29</v>
      </c>
      <c r="T603">
        <v>5</v>
      </c>
    </row>
    <row r="604" spans="1:20" x14ac:dyDescent="0.3">
      <c r="A604">
        <v>856</v>
      </c>
      <c r="C604">
        <v>66</v>
      </c>
      <c r="D604">
        <v>2701</v>
      </c>
      <c r="E604" t="s">
        <v>20</v>
      </c>
      <c r="F604" t="s">
        <v>21</v>
      </c>
      <c r="G604" t="s">
        <v>22</v>
      </c>
      <c r="H604" t="s">
        <v>38</v>
      </c>
      <c r="I604" t="s">
        <v>31</v>
      </c>
      <c r="J604">
        <v>53.3</v>
      </c>
      <c r="K604">
        <v>3</v>
      </c>
      <c r="L604">
        <v>7.9950000000000001</v>
      </c>
      <c r="M604">
        <v>167.89500000000001</v>
      </c>
      <c r="N604" s="1">
        <v>43490</v>
      </c>
      <c r="O604" s="2">
        <v>0.59652777777777777</v>
      </c>
      <c r="P604" t="s">
        <v>25</v>
      </c>
      <c r="Q604">
        <v>159.9</v>
      </c>
      <c r="R604">
        <v>4.7619047620000003</v>
      </c>
      <c r="S604">
        <v>7.9950000000000001</v>
      </c>
      <c r="T604">
        <v>7.5</v>
      </c>
    </row>
    <row r="605" spans="1:20" x14ac:dyDescent="0.3">
      <c r="A605">
        <v>308</v>
      </c>
      <c r="C605">
        <v>39</v>
      </c>
      <c r="D605">
        <v>1707</v>
      </c>
      <c r="E605" t="s">
        <v>20</v>
      </c>
      <c r="F605" t="s">
        <v>21</v>
      </c>
      <c r="G605" t="s">
        <v>28</v>
      </c>
      <c r="H605" t="s">
        <v>23</v>
      </c>
      <c r="I605" t="s">
        <v>37</v>
      </c>
      <c r="J605">
        <v>12.09</v>
      </c>
      <c r="K605">
        <v>1</v>
      </c>
      <c r="L605">
        <v>0.60450000000000004</v>
      </c>
      <c r="M605">
        <v>12.6945</v>
      </c>
      <c r="N605" s="1">
        <v>43491</v>
      </c>
      <c r="O605" s="2">
        <v>0.7631944444444444</v>
      </c>
      <c r="P605" t="s">
        <v>32</v>
      </c>
      <c r="Q605">
        <v>12.09</v>
      </c>
      <c r="R605">
        <v>4.7619047620000003</v>
      </c>
      <c r="S605">
        <v>0.60450000000000004</v>
      </c>
      <c r="T605">
        <v>8.1999999999999993</v>
      </c>
    </row>
    <row r="606" spans="1:20" x14ac:dyDescent="0.3">
      <c r="A606">
        <v>149</v>
      </c>
      <c r="C606">
        <v>61</v>
      </c>
      <c r="D606">
        <v>1929</v>
      </c>
      <c r="E606" t="s">
        <v>20</v>
      </c>
      <c r="F606" t="s">
        <v>21</v>
      </c>
      <c r="G606" t="s">
        <v>28</v>
      </c>
      <c r="H606" t="s">
        <v>38</v>
      </c>
      <c r="I606" t="s">
        <v>33</v>
      </c>
      <c r="J606">
        <v>64.19</v>
      </c>
      <c r="K606">
        <v>10</v>
      </c>
      <c r="L606">
        <v>32.094999999999999</v>
      </c>
      <c r="M606">
        <v>673.995</v>
      </c>
      <c r="N606" s="1">
        <v>43484</v>
      </c>
      <c r="O606" s="2">
        <v>0.58888888888888891</v>
      </c>
      <c r="P606" t="s">
        <v>32</v>
      </c>
      <c r="Q606">
        <v>641.9</v>
      </c>
      <c r="R606">
        <v>4.7619047620000003</v>
      </c>
      <c r="S606">
        <v>32.094999999999999</v>
      </c>
      <c r="T606">
        <v>6.7</v>
      </c>
    </row>
    <row r="607" spans="1:20" x14ac:dyDescent="0.3">
      <c r="A607">
        <v>655</v>
      </c>
      <c r="C607">
        <v>7</v>
      </c>
      <c r="D607">
        <v>2265</v>
      </c>
      <c r="E607" t="s">
        <v>20</v>
      </c>
      <c r="F607" t="s">
        <v>21</v>
      </c>
      <c r="G607" t="s">
        <v>28</v>
      </c>
      <c r="H607" t="s">
        <v>38</v>
      </c>
      <c r="I607" t="s">
        <v>29</v>
      </c>
      <c r="J607">
        <v>78.31</v>
      </c>
      <c r="K607">
        <v>3</v>
      </c>
      <c r="L607">
        <v>11.746499999999999</v>
      </c>
      <c r="M607">
        <v>246.6765</v>
      </c>
      <c r="N607" s="1">
        <v>43529</v>
      </c>
      <c r="O607" s="2">
        <v>0.69305555555555554</v>
      </c>
      <c r="P607" t="s">
        <v>25</v>
      </c>
      <c r="Q607">
        <v>234.93</v>
      </c>
      <c r="R607">
        <v>4.7619047620000003</v>
      </c>
      <c r="S607">
        <v>11.746499999999999</v>
      </c>
      <c r="T607">
        <v>5.4</v>
      </c>
    </row>
    <row r="608" spans="1:20" x14ac:dyDescent="0.3">
      <c r="A608">
        <v>589</v>
      </c>
      <c r="C608">
        <v>2</v>
      </c>
      <c r="D608">
        <v>8023</v>
      </c>
      <c r="E608" t="s">
        <v>20</v>
      </c>
      <c r="F608" t="s">
        <v>21</v>
      </c>
      <c r="G608" t="s">
        <v>22</v>
      </c>
      <c r="H608" t="s">
        <v>38</v>
      </c>
      <c r="I608" t="s">
        <v>36</v>
      </c>
      <c r="J608">
        <v>83.77</v>
      </c>
      <c r="K608">
        <v>2</v>
      </c>
      <c r="L608">
        <v>8.3770000000000007</v>
      </c>
      <c r="M608">
        <v>175.917</v>
      </c>
      <c r="N608" s="1">
        <v>43480</v>
      </c>
      <c r="O608" s="2">
        <v>0.45416666666666666</v>
      </c>
      <c r="P608" t="s">
        <v>32</v>
      </c>
      <c r="Q608">
        <v>167.54</v>
      </c>
      <c r="R608">
        <v>4.7619047620000003</v>
      </c>
      <c r="S608">
        <v>8.3770000000000007</v>
      </c>
      <c r="T608">
        <v>7</v>
      </c>
    </row>
    <row r="609" spans="1:20" x14ac:dyDescent="0.3">
      <c r="A609">
        <v>420</v>
      </c>
      <c r="C609">
        <v>4</v>
      </c>
      <c r="D609">
        <v>7590</v>
      </c>
      <c r="E609" t="s">
        <v>34</v>
      </c>
      <c r="F609" t="s">
        <v>35</v>
      </c>
      <c r="G609" t="s">
        <v>28</v>
      </c>
      <c r="H609" t="s">
        <v>38</v>
      </c>
      <c r="I609" t="s">
        <v>31</v>
      </c>
      <c r="J609">
        <v>99.7</v>
      </c>
      <c r="K609">
        <v>3</v>
      </c>
      <c r="L609">
        <v>14.955</v>
      </c>
      <c r="M609">
        <v>314.05500000000001</v>
      </c>
      <c r="N609" s="1">
        <v>43542</v>
      </c>
      <c r="O609" s="2">
        <v>0.47847222222222224</v>
      </c>
      <c r="P609" t="s">
        <v>25</v>
      </c>
      <c r="Q609">
        <v>299.10000000000002</v>
      </c>
      <c r="R609">
        <v>4.7619047620000003</v>
      </c>
      <c r="S609">
        <v>14.955</v>
      </c>
      <c r="T609">
        <v>4.7</v>
      </c>
    </row>
    <row r="610" spans="1:20" x14ac:dyDescent="0.3">
      <c r="A610">
        <v>182</v>
      </c>
      <c r="C610">
        <v>88</v>
      </c>
      <c r="D610">
        <v>2763</v>
      </c>
      <c r="E610" t="s">
        <v>34</v>
      </c>
      <c r="F610" t="s">
        <v>35</v>
      </c>
      <c r="G610" t="s">
        <v>22</v>
      </c>
      <c r="H610" t="s">
        <v>38</v>
      </c>
      <c r="I610" t="s">
        <v>36</v>
      </c>
      <c r="J610">
        <v>79.91</v>
      </c>
      <c r="K610">
        <v>3</v>
      </c>
      <c r="L610">
        <v>11.986499999999999</v>
      </c>
      <c r="M610">
        <v>251.7165</v>
      </c>
      <c r="N610" s="1">
        <v>43544</v>
      </c>
      <c r="O610" s="2">
        <v>0.81111111111111112</v>
      </c>
      <c r="P610" t="s">
        <v>32</v>
      </c>
      <c r="Q610">
        <v>239.73</v>
      </c>
      <c r="R610">
        <v>4.7619047620000003</v>
      </c>
      <c r="S610">
        <v>11.986499999999999</v>
      </c>
      <c r="T610">
        <v>5</v>
      </c>
    </row>
    <row r="611" spans="1:20" x14ac:dyDescent="0.3">
      <c r="A611">
        <v>188</v>
      </c>
      <c r="C611">
        <v>55</v>
      </c>
      <c r="D611">
        <v>967</v>
      </c>
      <c r="E611" t="s">
        <v>34</v>
      </c>
      <c r="F611" t="s">
        <v>35</v>
      </c>
      <c r="G611" t="s">
        <v>22</v>
      </c>
      <c r="H611" t="s">
        <v>38</v>
      </c>
      <c r="I611" t="s">
        <v>24</v>
      </c>
      <c r="J611">
        <v>66.47</v>
      </c>
      <c r="K611">
        <v>10</v>
      </c>
      <c r="L611">
        <v>33.234999999999999</v>
      </c>
      <c r="M611">
        <v>697.93499999999995</v>
      </c>
      <c r="N611" s="1">
        <v>43480</v>
      </c>
      <c r="O611" s="2">
        <v>0.62569444444444444</v>
      </c>
      <c r="P611" t="s">
        <v>32</v>
      </c>
      <c r="Q611">
        <v>664.7</v>
      </c>
      <c r="R611">
        <v>4.7619047620000003</v>
      </c>
      <c r="S611">
        <v>33.234999999999999</v>
      </c>
      <c r="T611">
        <v>5</v>
      </c>
    </row>
    <row r="612" spans="1:20" x14ac:dyDescent="0.3">
      <c r="A612">
        <v>610</v>
      </c>
      <c r="C612">
        <v>46</v>
      </c>
      <c r="D612">
        <v>4100</v>
      </c>
      <c r="E612" t="s">
        <v>20</v>
      </c>
      <c r="F612" t="s">
        <v>21</v>
      </c>
      <c r="G612" t="s">
        <v>28</v>
      </c>
      <c r="H612" t="s">
        <v>38</v>
      </c>
      <c r="I612" t="s">
        <v>24</v>
      </c>
      <c r="J612">
        <v>28.95</v>
      </c>
      <c r="K612">
        <v>7</v>
      </c>
      <c r="L612">
        <v>10.1325</v>
      </c>
      <c r="M612">
        <v>212.7825</v>
      </c>
      <c r="N612" s="1">
        <v>43527</v>
      </c>
      <c r="O612" s="2">
        <v>0.85486111111111107</v>
      </c>
      <c r="P612" t="s">
        <v>32</v>
      </c>
      <c r="Q612">
        <v>202.65</v>
      </c>
      <c r="R612">
        <v>4.7619047620000003</v>
      </c>
      <c r="S612">
        <v>10.1325</v>
      </c>
      <c r="T612">
        <v>6</v>
      </c>
    </row>
    <row r="613" spans="1:20" x14ac:dyDescent="0.3">
      <c r="A613">
        <v>318</v>
      </c>
      <c r="C613">
        <v>81</v>
      </c>
      <c r="D613">
        <v>2368</v>
      </c>
      <c r="E613" t="s">
        <v>26</v>
      </c>
      <c r="F613" t="s">
        <v>27</v>
      </c>
      <c r="G613" t="s">
        <v>28</v>
      </c>
      <c r="H613" t="s">
        <v>23</v>
      </c>
      <c r="I613" t="s">
        <v>29</v>
      </c>
      <c r="J613">
        <v>46.2</v>
      </c>
      <c r="K613">
        <v>1</v>
      </c>
      <c r="L613">
        <v>2.31</v>
      </c>
      <c r="M613">
        <v>48.51</v>
      </c>
      <c r="N613" s="1">
        <v>43543</v>
      </c>
      <c r="O613" s="2">
        <v>0.51111111111111107</v>
      </c>
      <c r="P613" t="s">
        <v>30</v>
      </c>
      <c r="Q613">
        <v>46.2</v>
      </c>
      <c r="R613">
        <v>4.7619047620000003</v>
      </c>
      <c r="S613">
        <v>2.31</v>
      </c>
      <c r="T613">
        <v>6.3</v>
      </c>
    </row>
    <row r="614" spans="1:20" x14ac:dyDescent="0.3">
      <c r="A614">
        <v>364</v>
      </c>
      <c r="C614">
        <v>33</v>
      </c>
      <c r="D614">
        <v>8584</v>
      </c>
      <c r="E614" t="s">
        <v>34</v>
      </c>
      <c r="F614" t="s">
        <v>35</v>
      </c>
      <c r="G614" t="s">
        <v>22</v>
      </c>
      <c r="H614" t="s">
        <v>23</v>
      </c>
      <c r="I614" t="s">
        <v>36</v>
      </c>
      <c r="J614">
        <v>17.63</v>
      </c>
      <c r="K614">
        <v>5</v>
      </c>
      <c r="L614">
        <v>4.4074999999999998</v>
      </c>
      <c r="M614">
        <v>92.557500000000005</v>
      </c>
      <c r="N614" s="1">
        <v>43532</v>
      </c>
      <c r="O614" s="2">
        <v>0.64375000000000004</v>
      </c>
      <c r="P614" t="s">
        <v>30</v>
      </c>
      <c r="Q614">
        <v>88.15</v>
      </c>
      <c r="R614">
        <v>4.7619047620000003</v>
      </c>
      <c r="S614">
        <v>4.4074999999999998</v>
      </c>
      <c r="T614">
        <v>8.5</v>
      </c>
    </row>
    <row r="615" spans="1:20" x14ac:dyDescent="0.3">
      <c r="A615">
        <v>665</v>
      </c>
      <c r="C615">
        <v>63</v>
      </c>
      <c r="D615">
        <v>9737</v>
      </c>
      <c r="E615" t="s">
        <v>34</v>
      </c>
      <c r="F615" t="s">
        <v>35</v>
      </c>
      <c r="G615" t="s">
        <v>28</v>
      </c>
      <c r="H615" t="s">
        <v>38</v>
      </c>
      <c r="I615" t="s">
        <v>37</v>
      </c>
      <c r="J615">
        <v>52.42</v>
      </c>
      <c r="K615">
        <v>3</v>
      </c>
      <c r="L615">
        <v>7.8630000000000004</v>
      </c>
      <c r="M615">
        <v>165.12299999999999</v>
      </c>
      <c r="N615" s="1">
        <v>43523</v>
      </c>
      <c r="O615" s="2">
        <v>0.73333333333333328</v>
      </c>
      <c r="P615" t="s">
        <v>25</v>
      </c>
      <c r="Q615">
        <v>157.26</v>
      </c>
      <c r="R615">
        <v>4.7619047620000003</v>
      </c>
      <c r="S615">
        <v>7.8630000000000004</v>
      </c>
      <c r="T615">
        <v>7.5</v>
      </c>
    </row>
    <row r="616" spans="1:20" x14ac:dyDescent="0.3">
      <c r="A616">
        <v>695</v>
      </c>
      <c r="C616">
        <v>9</v>
      </c>
      <c r="D616">
        <v>5146</v>
      </c>
      <c r="E616" t="s">
        <v>34</v>
      </c>
      <c r="F616" t="s">
        <v>35</v>
      </c>
      <c r="G616" t="s">
        <v>22</v>
      </c>
      <c r="H616" t="s">
        <v>23</v>
      </c>
      <c r="I616" t="s">
        <v>36</v>
      </c>
      <c r="J616">
        <v>98.79</v>
      </c>
      <c r="K616">
        <v>3</v>
      </c>
      <c r="L616">
        <v>14.8185</v>
      </c>
      <c r="M616">
        <v>311.18849999999998</v>
      </c>
      <c r="N616" s="1">
        <v>43519</v>
      </c>
      <c r="O616" s="2">
        <v>0.83333333333333337</v>
      </c>
      <c r="P616" t="s">
        <v>25</v>
      </c>
      <c r="Q616">
        <v>296.37</v>
      </c>
      <c r="R616">
        <v>4.7619047620000003</v>
      </c>
      <c r="S616">
        <v>14.8185</v>
      </c>
      <c r="T616">
        <v>6.4</v>
      </c>
    </row>
    <row r="617" spans="1:20" x14ac:dyDescent="0.3">
      <c r="A617">
        <v>155</v>
      </c>
      <c r="C617">
        <v>45</v>
      </c>
      <c r="D617">
        <v>3814</v>
      </c>
      <c r="E617" t="s">
        <v>26</v>
      </c>
      <c r="F617" t="s">
        <v>27</v>
      </c>
      <c r="G617" t="s">
        <v>22</v>
      </c>
      <c r="H617" t="s">
        <v>23</v>
      </c>
      <c r="I617" t="s">
        <v>29</v>
      </c>
      <c r="J617">
        <v>88.55</v>
      </c>
      <c r="K617">
        <v>8</v>
      </c>
      <c r="L617">
        <v>35.42</v>
      </c>
      <c r="M617">
        <v>743.82</v>
      </c>
      <c r="N617" s="1">
        <v>43543</v>
      </c>
      <c r="O617" s="2">
        <v>0.64513888888888893</v>
      </c>
      <c r="P617" t="s">
        <v>25</v>
      </c>
      <c r="Q617">
        <v>708.4</v>
      </c>
      <c r="R617">
        <v>4.7619047620000003</v>
      </c>
      <c r="S617">
        <v>35.42</v>
      </c>
      <c r="T617">
        <v>4.7</v>
      </c>
    </row>
    <row r="618" spans="1:20" x14ac:dyDescent="0.3">
      <c r="A618">
        <v>794</v>
      </c>
      <c r="C618">
        <v>32</v>
      </c>
      <c r="D618">
        <v>2436</v>
      </c>
      <c r="E618" t="s">
        <v>34</v>
      </c>
      <c r="F618" t="s">
        <v>35</v>
      </c>
      <c r="G618" t="s">
        <v>22</v>
      </c>
      <c r="H618" t="s">
        <v>38</v>
      </c>
      <c r="I618" t="s">
        <v>29</v>
      </c>
      <c r="J618">
        <v>55.67</v>
      </c>
      <c r="K618">
        <v>2</v>
      </c>
      <c r="L618">
        <v>5.5670000000000002</v>
      </c>
      <c r="M618">
        <v>116.907</v>
      </c>
      <c r="N618" s="1">
        <v>43551</v>
      </c>
      <c r="O618" s="2">
        <v>0.63055555555555554</v>
      </c>
      <c r="P618" t="s">
        <v>25</v>
      </c>
      <c r="Q618">
        <v>111.34</v>
      </c>
      <c r="R618">
        <v>4.7619047620000003</v>
      </c>
      <c r="S618">
        <v>5.5670000000000002</v>
      </c>
      <c r="T618">
        <v>6</v>
      </c>
    </row>
    <row r="619" spans="1:20" x14ac:dyDescent="0.3">
      <c r="A619">
        <v>131</v>
      </c>
      <c r="C619">
        <v>15</v>
      </c>
      <c r="D619">
        <v>8856</v>
      </c>
      <c r="E619" t="s">
        <v>26</v>
      </c>
      <c r="F619" t="s">
        <v>27</v>
      </c>
      <c r="G619" t="s">
        <v>22</v>
      </c>
      <c r="H619" t="s">
        <v>23</v>
      </c>
      <c r="I619" t="s">
        <v>36</v>
      </c>
      <c r="J619">
        <v>72.52</v>
      </c>
      <c r="K619">
        <v>8</v>
      </c>
      <c r="L619">
        <v>29.007999999999999</v>
      </c>
      <c r="M619">
        <v>609.16800000000001</v>
      </c>
      <c r="N619" s="1">
        <v>43554</v>
      </c>
      <c r="O619" s="2">
        <v>0.80972222222222223</v>
      </c>
      <c r="P619" t="s">
        <v>32</v>
      </c>
      <c r="Q619">
        <v>580.16</v>
      </c>
      <c r="R619">
        <v>4.7619047620000003</v>
      </c>
      <c r="S619">
        <v>29.007999999999999</v>
      </c>
      <c r="T619">
        <v>4</v>
      </c>
    </row>
    <row r="620" spans="1:20" x14ac:dyDescent="0.3">
      <c r="A620">
        <v>273</v>
      </c>
      <c r="C620">
        <v>84</v>
      </c>
      <c r="D620">
        <v>2164</v>
      </c>
      <c r="E620" t="s">
        <v>26</v>
      </c>
      <c r="F620" t="s">
        <v>27</v>
      </c>
      <c r="G620" t="s">
        <v>22</v>
      </c>
      <c r="H620" t="s">
        <v>38</v>
      </c>
      <c r="I620" t="s">
        <v>29</v>
      </c>
      <c r="J620">
        <v>12.05</v>
      </c>
      <c r="K620">
        <v>5</v>
      </c>
      <c r="L620">
        <v>3.0125000000000002</v>
      </c>
      <c r="M620">
        <v>63.262500000000003</v>
      </c>
      <c r="N620" s="1">
        <v>43512</v>
      </c>
      <c r="O620" s="2">
        <v>0.66180555555555554</v>
      </c>
      <c r="P620" t="s">
        <v>25</v>
      </c>
      <c r="Q620">
        <v>60.25</v>
      </c>
      <c r="R620">
        <v>4.7619047620000003</v>
      </c>
      <c r="S620">
        <v>3.0125000000000002</v>
      </c>
      <c r="T620">
        <v>5.5</v>
      </c>
    </row>
    <row r="621" spans="1:20" x14ac:dyDescent="0.3">
      <c r="A621">
        <v>706</v>
      </c>
      <c r="C621">
        <v>36</v>
      </c>
      <c r="D621">
        <v>6154</v>
      </c>
      <c r="E621" t="s">
        <v>20</v>
      </c>
      <c r="F621" t="s">
        <v>21</v>
      </c>
      <c r="G621" t="s">
        <v>22</v>
      </c>
      <c r="H621" t="s">
        <v>38</v>
      </c>
      <c r="I621" t="s">
        <v>31</v>
      </c>
      <c r="J621">
        <v>19.36</v>
      </c>
      <c r="K621">
        <v>9</v>
      </c>
      <c r="L621">
        <v>8.7119999999999997</v>
      </c>
      <c r="M621">
        <v>182.952</v>
      </c>
      <c r="N621" s="1">
        <v>43483</v>
      </c>
      <c r="O621" s="2">
        <v>0.77986111111111112</v>
      </c>
      <c r="P621" t="s">
        <v>25</v>
      </c>
      <c r="Q621">
        <v>174.24</v>
      </c>
      <c r="R621">
        <v>4.7619047620000003</v>
      </c>
      <c r="S621">
        <v>8.7119999999999997</v>
      </c>
      <c r="T621">
        <v>8.6999999999999993</v>
      </c>
    </row>
    <row r="622" spans="1:20" x14ac:dyDescent="0.3">
      <c r="A622">
        <v>778</v>
      </c>
      <c r="C622">
        <v>89</v>
      </c>
      <c r="D622">
        <v>7974</v>
      </c>
      <c r="E622" t="s">
        <v>26</v>
      </c>
      <c r="F622" t="s">
        <v>27</v>
      </c>
      <c r="G622" t="s">
        <v>28</v>
      </c>
      <c r="H622" t="s">
        <v>38</v>
      </c>
      <c r="I622" t="s">
        <v>24</v>
      </c>
      <c r="J622">
        <v>70.209999999999994</v>
      </c>
      <c r="K622">
        <v>6</v>
      </c>
      <c r="L622">
        <v>21.062999999999999</v>
      </c>
      <c r="M622">
        <v>442.32299999999998</v>
      </c>
      <c r="N622" s="1">
        <v>43554</v>
      </c>
      <c r="O622" s="2">
        <v>0.62361111111111112</v>
      </c>
      <c r="P622" t="s">
        <v>30</v>
      </c>
      <c r="Q622">
        <v>421.26</v>
      </c>
      <c r="R622">
        <v>4.7619047620000003</v>
      </c>
      <c r="S622">
        <v>21.062999999999999</v>
      </c>
      <c r="T622">
        <v>7.4</v>
      </c>
    </row>
    <row r="623" spans="1:20" x14ac:dyDescent="0.3">
      <c r="A623">
        <v>574</v>
      </c>
      <c r="C623">
        <v>31</v>
      </c>
      <c r="D623">
        <v>8277</v>
      </c>
      <c r="E623" t="s">
        <v>34</v>
      </c>
      <c r="F623" t="s">
        <v>35</v>
      </c>
      <c r="G623" t="s">
        <v>22</v>
      </c>
      <c r="H623" t="s">
        <v>38</v>
      </c>
      <c r="I623" t="s">
        <v>37</v>
      </c>
      <c r="J623">
        <v>33.630000000000003</v>
      </c>
      <c r="K623">
        <v>1</v>
      </c>
      <c r="L623">
        <v>1.6815</v>
      </c>
      <c r="M623">
        <v>35.311500000000002</v>
      </c>
      <c r="N623" s="1">
        <v>43544</v>
      </c>
      <c r="O623" s="2">
        <v>0.82986111111111116</v>
      </c>
      <c r="P623" t="s">
        <v>30</v>
      </c>
      <c r="Q623">
        <v>33.630000000000003</v>
      </c>
      <c r="R623">
        <v>4.7619047620000003</v>
      </c>
      <c r="S623">
        <v>1.6815</v>
      </c>
      <c r="T623">
        <v>5.6</v>
      </c>
    </row>
    <row r="624" spans="1:20" x14ac:dyDescent="0.3">
      <c r="A624">
        <v>859</v>
      </c>
      <c r="C624">
        <v>71</v>
      </c>
      <c r="D624">
        <v>933</v>
      </c>
      <c r="E624" t="s">
        <v>26</v>
      </c>
      <c r="F624" t="s">
        <v>27</v>
      </c>
      <c r="G624" t="s">
        <v>22</v>
      </c>
      <c r="H624" t="s">
        <v>23</v>
      </c>
      <c r="I624" t="s">
        <v>33</v>
      </c>
      <c r="J624">
        <v>15.49</v>
      </c>
      <c r="K624">
        <v>2</v>
      </c>
      <c r="L624">
        <v>1.5489999999999999</v>
      </c>
      <c r="M624">
        <v>32.529000000000003</v>
      </c>
      <c r="N624" s="1">
        <v>43481</v>
      </c>
      <c r="O624" s="2">
        <v>0.63194444444444442</v>
      </c>
      <c r="P624" t="s">
        <v>30</v>
      </c>
      <c r="Q624">
        <v>30.98</v>
      </c>
      <c r="R624">
        <v>4.7619047620000003</v>
      </c>
      <c r="S624">
        <v>1.5489999999999999</v>
      </c>
      <c r="T624">
        <v>6.3</v>
      </c>
    </row>
    <row r="625" spans="1:20" x14ac:dyDescent="0.3">
      <c r="A625">
        <v>740</v>
      </c>
      <c r="C625">
        <v>11</v>
      </c>
      <c r="D625">
        <v>5257</v>
      </c>
      <c r="E625" t="s">
        <v>26</v>
      </c>
      <c r="F625" t="s">
        <v>27</v>
      </c>
      <c r="G625" t="s">
        <v>28</v>
      </c>
      <c r="H625" t="s">
        <v>38</v>
      </c>
      <c r="I625" t="s">
        <v>29</v>
      </c>
      <c r="J625">
        <v>24.74</v>
      </c>
      <c r="K625">
        <v>10</v>
      </c>
      <c r="L625">
        <v>12.37</v>
      </c>
      <c r="M625">
        <v>259.77</v>
      </c>
      <c r="N625" s="1">
        <v>43520</v>
      </c>
      <c r="O625" s="2">
        <v>0.69722222222222219</v>
      </c>
      <c r="P625" t="s">
        <v>30</v>
      </c>
      <c r="Q625">
        <v>247.4</v>
      </c>
      <c r="R625">
        <v>4.7619047620000003</v>
      </c>
      <c r="S625">
        <v>12.37</v>
      </c>
      <c r="T625">
        <v>7.1</v>
      </c>
    </row>
    <row r="626" spans="1:20" x14ac:dyDescent="0.3">
      <c r="A626">
        <v>369</v>
      </c>
      <c r="C626">
        <v>82</v>
      </c>
      <c r="D626">
        <v>2676</v>
      </c>
      <c r="E626" t="s">
        <v>34</v>
      </c>
      <c r="F626" t="s">
        <v>35</v>
      </c>
      <c r="G626" t="s">
        <v>28</v>
      </c>
      <c r="H626" t="s">
        <v>38</v>
      </c>
      <c r="I626" t="s">
        <v>29</v>
      </c>
      <c r="J626">
        <v>75.66</v>
      </c>
      <c r="K626">
        <v>5</v>
      </c>
      <c r="L626">
        <v>18.914999999999999</v>
      </c>
      <c r="M626">
        <v>397.21499999999997</v>
      </c>
      <c r="N626" s="1">
        <v>43480</v>
      </c>
      <c r="O626" s="2">
        <v>0.76527777777777772</v>
      </c>
      <c r="P626" t="s">
        <v>25</v>
      </c>
      <c r="Q626">
        <v>378.3</v>
      </c>
      <c r="R626">
        <v>4.7619047620000003</v>
      </c>
      <c r="S626">
        <v>18.914999999999999</v>
      </c>
      <c r="T626">
        <v>7.8</v>
      </c>
    </row>
    <row r="627" spans="1:20" x14ac:dyDescent="0.3">
      <c r="A627">
        <v>563</v>
      </c>
      <c r="C627">
        <v>47</v>
      </c>
      <c r="D627">
        <v>4072</v>
      </c>
      <c r="E627" t="s">
        <v>34</v>
      </c>
      <c r="F627" t="s">
        <v>35</v>
      </c>
      <c r="G627" t="s">
        <v>28</v>
      </c>
      <c r="H627" t="s">
        <v>23</v>
      </c>
      <c r="I627" t="s">
        <v>24</v>
      </c>
      <c r="J627">
        <v>55.81</v>
      </c>
      <c r="K627">
        <v>6</v>
      </c>
      <c r="L627">
        <v>16.742999999999999</v>
      </c>
      <c r="M627">
        <v>351.60300000000001</v>
      </c>
      <c r="N627" s="1">
        <v>43487</v>
      </c>
      <c r="O627" s="2">
        <v>0.49444444444444446</v>
      </c>
      <c r="P627" t="s">
        <v>30</v>
      </c>
      <c r="Q627">
        <v>334.86</v>
      </c>
      <c r="R627">
        <v>4.7619047620000003</v>
      </c>
      <c r="S627">
        <v>16.742999999999999</v>
      </c>
      <c r="T627">
        <v>9.9</v>
      </c>
    </row>
    <row r="628" spans="1:20" x14ac:dyDescent="0.3">
      <c r="A628">
        <v>742</v>
      </c>
      <c r="C628">
        <v>4</v>
      </c>
      <c r="D628">
        <v>5161</v>
      </c>
      <c r="E628" t="s">
        <v>20</v>
      </c>
      <c r="F628" t="s">
        <v>21</v>
      </c>
      <c r="G628" t="s">
        <v>22</v>
      </c>
      <c r="H628" t="s">
        <v>38</v>
      </c>
      <c r="I628" t="s">
        <v>31</v>
      </c>
      <c r="J628">
        <v>72.78</v>
      </c>
      <c r="K628">
        <v>10</v>
      </c>
      <c r="L628">
        <v>36.39</v>
      </c>
      <c r="M628">
        <v>764.19</v>
      </c>
      <c r="N628" s="1">
        <v>43499</v>
      </c>
      <c r="O628" s="2">
        <v>0.72499999999999998</v>
      </c>
      <c r="P628" t="s">
        <v>30</v>
      </c>
      <c r="Q628">
        <v>727.8</v>
      </c>
      <c r="R628">
        <v>4.7619047620000003</v>
      </c>
      <c r="S628">
        <v>36.39</v>
      </c>
      <c r="T628">
        <v>7.3</v>
      </c>
    </row>
    <row r="629" spans="1:20" x14ac:dyDescent="0.3">
      <c r="A629">
        <v>149</v>
      </c>
      <c r="C629">
        <v>15</v>
      </c>
      <c r="D629">
        <v>7606</v>
      </c>
      <c r="E629" t="s">
        <v>34</v>
      </c>
      <c r="F629" t="s">
        <v>35</v>
      </c>
      <c r="G629" t="s">
        <v>22</v>
      </c>
      <c r="H629" t="s">
        <v>38</v>
      </c>
      <c r="I629" t="s">
        <v>33</v>
      </c>
      <c r="J629">
        <v>37.32</v>
      </c>
      <c r="K629">
        <v>9</v>
      </c>
      <c r="L629">
        <v>16.794</v>
      </c>
      <c r="M629">
        <v>352.67399999999998</v>
      </c>
      <c r="N629" s="1">
        <v>43530</v>
      </c>
      <c r="O629" s="2">
        <v>0.64652777777777781</v>
      </c>
      <c r="P629" t="s">
        <v>25</v>
      </c>
      <c r="Q629">
        <v>335.88</v>
      </c>
      <c r="R629">
        <v>4.7619047620000003</v>
      </c>
      <c r="S629">
        <v>16.794</v>
      </c>
      <c r="T629">
        <v>5.0999999999999996</v>
      </c>
    </row>
    <row r="630" spans="1:20" x14ac:dyDescent="0.3">
      <c r="A630">
        <v>133</v>
      </c>
      <c r="C630">
        <v>77</v>
      </c>
      <c r="D630">
        <v>3154</v>
      </c>
      <c r="E630" t="s">
        <v>34</v>
      </c>
      <c r="F630" t="s">
        <v>35</v>
      </c>
      <c r="G630" t="s">
        <v>22</v>
      </c>
      <c r="H630" t="s">
        <v>38</v>
      </c>
      <c r="I630" t="s">
        <v>37</v>
      </c>
      <c r="J630">
        <v>60.18</v>
      </c>
      <c r="K630">
        <v>4</v>
      </c>
      <c r="L630">
        <v>12.036</v>
      </c>
      <c r="M630">
        <v>252.756</v>
      </c>
      <c r="N630" s="1">
        <v>43512</v>
      </c>
      <c r="O630" s="2">
        <v>0.75277777777777777</v>
      </c>
      <c r="P630" t="s">
        <v>32</v>
      </c>
      <c r="Q630">
        <v>240.72</v>
      </c>
      <c r="R630">
        <v>4.7619047620000003</v>
      </c>
      <c r="S630">
        <v>12.036</v>
      </c>
      <c r="T630">
        <v>9.4</v>
      </c>
    </row>
    <row r="631" spans="1:20" x14ac:dyDescent="0.3">
      <c r="A631">
        <v>169</v>
      </c>
      <c r="C631">
        <v>52</v>
      </c>
      <c r="D631">
        <v>4504</v>
      </c>
      <c r="E631" t="s">
        <v>20</v>
      </c>
      <c r="F631" t="s">
        <v>21</v>
      </c>
      <c r="G631" t="s">
        <v>28</v>
      </c>
      <c r="H631" t="s">
        <v>23</v>
      </c>
      <c r="I631" t="s">
        <v>29</v>
      </c>
      <c r="J631">
        <v>15.69</v>
      </c>
      <c r="K631">
        <v>3</v>
      </c>
      <c r="L631">
        <v>2.3534999999999999</v>
      </c>
      <c r="M631">
        <v>49.423499999999997</v>
      </c>
      <c r="N631" s="1">
        <v>43538</v>
      </c>
      <c r="O631" s="2">
        <v>0.59236111111111112</v>
      </c>
      <c r="P631" t="s">
        <v>32</v>
      </c>
      <c r="Q631">
        <v>47.07</v>
      </c>
      <c r="R631">
        <v>4.7619047620000003</v>
      </c>
      <c r="S631">
        <v>2.3534999999999999</v>
      </c>
      <c r="T631">
        <v>5.8</v>
      </c>
    </row>
    <row r="632" spans="1:20" x14ac:dyDescent="0.3">
      <c r="A632">
        <v>250</v>
      </c>
      <c r="C632">
        <v>81</v>
      </c>
      <c r="D632">
        <v>7186</v>
      </c>
      <c r="E632" t="s">
        <v>26</v>
      </c>
      <c r="F632" t="s">
        <v>27</v>
      </c>
      <c r="G632" t="s">
        <v>28</v>
      </c>
      <c r="H632" t="s">
        <v>23</v>
      </c>
      <c r="I632" t="s">
        <v>29</v>
      </c>
      <c r="J632">
        <v>99.69</v>
      </c>
      <c r="K632">
        <v>1</v>
      </c>
      <c r="L632">
        <v>4.9844999999999997</v>
      </c>
      <c r="M632">
        <v>104.67449999999999</v>
      </c>
      <c r="N632" s="1">
        <v>43523</v>
      </c>
      <c r="O632" s="2">
        <v>0.43263888888888891</v>
      </c>
      <c r="P632" t="s">
        <v>32</v>
      </c>
      <c r="Q632">
        <v>99.69</v>
      </c>
      <c r="R632">
        <v>4.7619047620000003</v>
      </c>
      <c r="S632">
        <v>4.9844999999999997</v>
      </c>
      <c r="T632">
        <v>8</v>
      </c>
    </row>
    <row r="633" spans="1:20" x14ac:dyDescent="0.3">
      <c r="A633">
        <v>562</v>
      </c>
      <c r="C633">
        <v>12</v>
      </c>
      <c r="D633">
        <v>5430</v>
      </c>
      <c r="E633" t="s">
        <v>20</v>
      </c>
      <c r="F633" t="s">
        <v>21</v>
      </c>
      <c r="G633" t="s">
        <v>22</v>
      </c>
      <c r="H633" t="s">
        <v>23</v>
      </c>
      <c r="I633" t="s">
        <v>37</v>
      </c>
      <c r="J633">
        <v>88.15</v>
      </c>
      <c r="K633">
        <v>3</v>
      </c>
      <c r="L633">
        <v>13.2225</v>
      </c>
      <c r="M633">
        <v>277.67250000000001</v>
      </c>
      <c r="N633" s="1">
        <v>43483</v>
      </c>
      <c r="O633" s="2">
        <v>0.42430555555555555</v>
      </c>
      <c r="P633" t="s">
        <v>25</v>
      </c>
      <c r="Q633">
        <v>264.45</v>
      </c>
      <c r="R633">
        <v>4.7619047620000003</v>
      </c>
      <c r="S633">
        <v>13.2225</v>
      </c>
      <c r="T633">
        <v>7.9</v>
      </c>
    </row>
    <row r="634" spans="1:20" x14ac:dyDescent="0.3">
      <c r="A634">
        <v>816</v>
      </c>
      <c r="C634">
        <v>72</v>
      </c>
      <c r="D634">
        <v>8853</v>
      </c>
      <c r="E634" t="s">
        <v>20</v>
      </c>
      <c r="F634" t="s">
        <v>21</v>
      </c>
      <c r="G634" t="s">
        <v>22</v>
      </c>
      <c r="H634" t="s">
        <v>23</v>
      </c>
      <c r="I634" t="s">
        <v>33</v>
      </c>
      <c r="J634">
        <v>27.93</v>
      </c>
      <c r="K634">
        <v>5</v>
      </c>
      <c r="L634">
        <v>6.9824999999999999</v>
      </c>
      <c r="M634">
        <v>146.63249999999999</v>
      </c>
      <c r="N634" s="1">
        <v>43494</v>
      </c>
      <c r="O634" s="2">
        <v>0.65833333333333333</v>
      </c>
      <c r="P634" t="s">
        <v>30</v>
      </c>
      <c r="Q634">
        <v>139.65</v>
      </c>
      <c r="R634">
        <v>4.7619047620000003</v>
      </c>
      <c r="S634">
        <v>6.9824999999999999</v>
      </c>
      <c r="T634">
        <v>5.9</v>
      </c>
    </row>
    <row r="635" spans="1:20" x14ac:dyDescent="0.3">
      <c r="A635">
        <v>491</v>
      </c>
      <c r="C635">
        <v>38</v>
      </c>
      <c r="D635">
        <v>3499</v>
      </c>
      <c r="E635" t="s">
        <v>20</v>
      </c>
      <c r="F635" t="s">
        <v>21</v>
      </c>
      <c r="G635" t="s">
        <v>22</v>
      </c>
      <c r="H635" t="s">
        <v>38</v>
      </c>
      <c r="I635" t="s">
        <v>37</v>
      </c>
      <c r="J635">
        <v>55.45</v>
      </c>
      <c r="K635">
        <v>1</v>
      </c>
      <c r="L635">
        <v>2.7725</v>
      </c>
      <c r="M635">
        <v>58.222499999999997</v>
      </c>
      <c r="N635" s="1">
        <v>43522</v>
      </c>
      <c r="O635" s="2">
        <v>0.74027777777777781</v>
      </c>
      <c r="P635" t="s">
        <v>32</v>
      </c>
      <c r="Q635">
        <v>55.45</v>
      </c>
      <c r="R635">
        <v>4.7619047620000003</v>
      </c>
      <c r="S635">
        <v>2.7725</v>
      </c>
      <c r="T635">
        <v>4.9000000000000004</v>
      </c>
    </row>
    <row r="636" spans="1:20" x14ac:dyDescent="0.3">
      <c r="A636">
        <v>322</v>
      </c>
      <c r="C636">
        <v>2</v>
      </c>
      <c r="D636">
        <v>2271</v>
      </c>
      <c r="E636" t="s">
        <v>34</v>
      </c>
      <c r="F636" t="s">
        <v>35</v>
      </c>
      <c r="G636" t="s">
        <v>28</v>
      </c>
      <c r="H636" t="s">
        <v>23</v>
      </c>
      <c r="I636" t="s">
        <v>33</v>
      </c>
      <c r="J636">
        <v>42.97</v>
      </c>
      <c r="K636">
        <v>3</v>
      </c>
      <c r="L636">
        <v>6.4455</v>
      </c>
      <c r="M636">
        <v>135.35550000000001</v>
      </c>
      <c r="N636" s="1">
        <v>43499</v>
      </c>
      <c r="O636" s="2">
        <v>0.49027777777777776</v>
      </c>
      <c r="P636" t="s">
        <v>30</v>
      </c>
      <c r="Q636">
        <v>128.91</v>
      </c>
      <c r="R636">
        <v>4.7619047620000003</v>
      </c>
      <c r="S636">
        <v>6.4455</v>
      </c>
      <c r="T636">
        <v>9.3000000000000007</v>
      </c>
    </row>
    <row r="637" spans="1:20" x14ac:dyDescent="0.3">
      <c r="A637">
        <v>842</v>
      </c>
      <c r="C637">
        <v>29</v>
      </c>
      <c r="D637">
        <v>4695</v>
      </c>
      <c r="E637" t="s">
        <v>26</v>
      </c>
      <c r="F637" t="s">
        <v>27</v>
      </c>
      <c r="G637" t="s">
        <v>22</v>
      </c>
      <c r="H637" t="s">
        <v>38</v>
      </c>
      <c r="I637" t="s">
        <v>33</v>
      </c>
      <c r="J637">
        <v>17.14</v>
      </c>
      <c r="K637">
        <v>7</v>
      </c>
      <c r="L637">
        <v>5.9989999999999997</v>
      </c>
      <c r="M637">
        <v>125.979</v>
      </c>
      <c r="N637" s="1">
        <v>43481</v>
      </c>
      <c r="O637" s="2">
        <v>0.50486111111111109</v>
      </c>
      <c r="P637" t="s">
        <v>32</v>
      </c>
      <c r="Q637">
        <v>119.98</v>
      </c>
      <c r="R637">
        <v>4.7619047620000003</v>
      </c>
      <c r="S637">
        <v>5.9989999999999997</v>
      </c>
      <c r="T637">
        <v>7.9</v>
      </c>
    </row>
    <row r="638" spans="1:20" x14ac:dyDescent="0.3">
      <c r="A638">
        <v>725</v>
      </c>
      <c r="C638">
        <v>67</v>
      </c>
      <c r="D638">
        <v>2480</v>
      </c>
      <c r="E638" t="s">
        <v>34</v>
      </c>
      <c r="F638" t="s">
        <v>35</v>
      </c>
      <c r="G638" t="s">
        <v>22</v>
      </c>
      <c r="H638" t="s">
        <v>23</v>
      </c>
      <c r="I638" t="s">
        <v>37</v>
      </c>
      <c r="J638">
        <v>58.75</v>
      </c>
      <c r="K638">
        <v>6</v>
      </c>
      <c r="L638">
        <v>17.625</v>
      </c>
      <c r="M638">
        <v>370.125</v>
      </c>
      <c r="N638" s="1">
        <v>43548</v>
      </c>
      <c r="O638" s="2">
        <v>0.75972222222222219</v>
      </c>
      <c r="P638" t="s">
        <v>32</v>
      </c>
      <c r="Q638">
        <v>352.5</v>
      </c>
      <c r="R638">
        <v>4.7619047620000003</v>
      </c>
      <c r="S638">
        <v>17.625</v>
      </c>
      <c r="T638">
        <v>5.9</v>
      </c>
    </row>
    <row r="639" spans="1:20" x14ac:dyDescent="0.3">
      <c r="A639">
        <v>641</v>
      </c>
      <c r="C639">
        <v>51</v>
      </c>
      <c r="D639">
        <v>2661</v>
      </c>
      <c r="E639" t="s">
        <v>26</v>
      </c>
      <c r="F639" t="s">
        <v>27</v>
      </c>
      <c r="G639" t="s">
        <v>22</v>
      </c>
      <c r="H639" t="s">
        <v>23</v>
      </c>
      <c r="I639" t="s">
        <v>36</v>
      </c>
      <c r="J639">
        <v>87.1</v>
      </c>
      <c r="K639">
        <v>10</v>
      </c>
      <c r="L639">
        <v>43.55</v>
      </c>
      <c r="M639">
        <v>914.55</v>
      </c>
      <c r="N639" s="1">
        <v>43508</v>
      </c>
      <c r="O639" s="2">
        <v>0.61458333333333337</v>
      </c>
      <c r="P639" t="s">
        <v>32</v>
      </c>
      <c r="Q639">
        <v>871</v>
      </c>
      <c r="R639">
        <v>4.7619047620000003</v>
      </c>
      <c r="S639">
        <v>43.55</v>
      </c>
      <c r="T639">
        <v>9.9</v>
      </c>
    </row>
    <row r="640" spans="1:20" x14ac:dyDescent="0.3">
      <c r="A640">
        <v>714</v>
      </c>
      <c r="C640">
        <v>2</v>
      </c>
      <c r="D640">
        <v>3114</v>
      </c>
      <c r="E640" t="s">
        <v>26</v>
      </c>
      <c r="F640" t="s">
        <v>27</v>
      </c>
      <c r="G640" t="s">
        <v>28</v>
      </c>
      <c r="H640" t="s">
        <v>23</v>
      </c>
      <c r="I640" t="s">
        <v>33</v>
      </c>
      <c r="J640">
        <v>98.8</v>
      </c>
      <c r="K640">
        <v>2</v>
      </c>
      <c r="L640">
        <v>9.8800000000000008</v>
      </c>
      <c r="M640">
        <v>207.48</v>
      </c>
      <c r="N640" s="1">
        <v>43517</v>
      </c>
      <c r="O640" s="2">
        <v>0.48541666666666666</v>
      </c>
      <c r="P640" t="s">
        <v>30</v>
      </c>
      <c r="Q640">
        <v>197.6</v>
      </c>
      <c r="R640">
        <v>4.7619047620000003</v>
      </c>
      <c r="S640">
        <v>9.8800000000000008</v>
      </c>
      <c r="T640">
        <v>7.7</v>
      </c>
    </row>
    <row r="641" spans="1:20" x14ac:dyDescent="0.3">
      <c r="A641">
        <v>518</v>
      </c>
      <c r="C641">
        <v>17</v>
      </c>
      <c r="D641">
        <v>2983</v>
      </c>
      <c r="E641" t="s">
        <v>20</v>
      </c>
      <c r="F641" t="s">
        <v>21</v>
      </c>
      <c r="G641" t="s">
        <v>28</v>
      </c>
      <c r="H641" t="s">
        <v>23</v>
      </c>
      <c r="I641" t="s">
        <v>37</v>
      </c>
      <c r="J641">
        <v>48.63</v>
      </c>
      <c r="K641">
        <v>4</v>
      </c>
      <c r="L641">
        <v>9.7260000000000009</v>
      </c>
      <c r="M641">
        <v>204.24600000000001</v>
      </c>
      <c r="N641" s="1">
        <v>43500</v>
      </c>
      <c r="O641" s="2">
        <v>0.65555555555555556</v>
      </c>
      <c r="P641" t="s">
        <v>25</v>
      </c>
      <c r="Q641">
        <v>194.52</v>
      </c>
      <c r="R641">
        <v>4.7619047620000003</v>
      </c>
      <c r="S641">
        <v>9.7260000000000009</v>
      </c>
      <c r="T641">
        <v>7.6</v>
      </c>
    </row>
    <row r="642" spans="1:20" x14ac:dyDescent="0.3">
      <c r="A642">
        <v>779</v>
      </c>
      <c r="C642">
        <v>42</v>
      </c>
      <c r="D642">
        <v>2410</v>
      </c>
      <c r="E642" t="s">
        <v>34</v>
      </c>
      <c r="F642" t="s">
        <v>35</v>
      </c>
      <c r="G642" t="s">
        <v>22</v>
      </c>
      <c r="H642" t="s">
        <v>38</v>
      </c>
      <c r="I642" t="s">
        <v>36</v>
      </c>
      <c r="J642">
        <v>57.74</v>
      </c>
      <c r="K642">
        <v>3</v>
      </c>
      <c r="L642">
        <v>8.6609999999999996</v>
      </c>
      <c r="M642">
        <v>181.881</v>
      </c>
      <c r="N642" s="1">
        <v>43516</v>
      </c>
      <c r="O642" s="2">
        <v>0.54583333333333328</v>
      </c>
      <c r="P642" t="s">
        <v>25</v>
      </c>
      <c r="Q642">
        <v>173.22</v>
      </c>
      <c r="R642">
        <v>4.7619047620000003</v>
      </c>
      <c r="S642">
        <v>8.6609999999999996</v>
      </c>
      <c r="T642">
        <v>7.7</v>
      </c>
    </row>
    <row r="643" spans="1:20" x14ac:dyDescent="0.3">
      <c r="A643">
        <v>190</v>
      </c>
      <c r="C643">
        <v>14</v>
      </c>
      <c r="D643">
        <v>3147</v>
      </c>
      <c r="E643" t="s">
        <v>34</v>
      </c>
      <c r="F643" t="s">
        <v>35</v>
      </c>
      <c r="G643" t="s">
        <v>28</v>
      </c>
      <c r="H643" t="s">
        <v>23</v>
      </c>
      <c r="I643" t="s">
        <v>24</v>
      </c>
      <c r="J643">
        <v>17.97</v>
      </c>
      <c r="K643">
        <v>4</v>
      </c>
      <c r="L643">
        <v>3.5939999999999999</v>
      </c>
      <c r="M643">
        <v>75.474000000000004</v>
      </c>
      <c r="N643" s="1">
        <v>43519</v>
      </c>
      <c r="O643" s="2">
        <v>0.86319444444444449</v>
      </c>
      <c r="P643" t="s">
        <v>25</v>
      </c>
      <c r="Q643">
        <v>71.88</v>
      </c>
      <c r="R643">
        <v>4.7619047620000003</v>
      </c>
      <c r="S643">
        <v>3.5939999999999999</v>
      </c>
      <c r="T643">
        <v>6.4</v>
      </c>
    </row>
    <row r="644" spans="1:20" x14ac:dyDescent="0.3">
      <c r="A644">
        <v>408</v>
      </c>
      <c r="C644">
        <v>66</v>
      </c>
      <c r="D644">
        <v>6712</v>
      </c>
      <c r="E644" t="s">
        <v>26</v>
      </c>
      <c r="F644" t="s">
        <v>27</v>
      </c>
      <c r="G644" t="s">
        <v>22</v>
      </c>
      <c r="H644" t="s">
        <v>23</v>
      </c>
      <c r="I644" t="s">
        <v>24</v>
      </c>
      <c r="J644">
        <v>47.71</v>
      </c>
      <c r="K644">
        <v>6</v>
      </c>
      <c r="L644">
        <v>14.313000000000001</v>
      </c>
      <c r="M644">
        <v>300.57299999999998</v>
      </c>
      <c r="N644" s="1">
        <v>43512</v>
      </c>
      <c r="O644" s="2">
        <v>0.59652777777777777</v>
      </c>
      <c r="P644" t="s">
        <v>25</v>
      </c>
      <c r="Q644">
        <v>286.26</v>
      </c>
      <c r="R644">
        <v>4.7619047620000003</v>
      </c>
      <c r="S644">
        <v>14.313000000000001</v>
      </c>
      <c r="T644">
        <v>4.4000000000000004</v>
      </c>
    </row>
    <row r="645" spans="1:20" x14ac:dyDescent="0.3">
      <c r="A645">
        <v>679</v>
      </c>
      <c r="C645">
        <v>22</v>
      </c>
      <c r="D645">
        <v>6530</v>
      </c>
      <c r="E645" t="s">
        <v>34</v>
      </c>
      <c r="F645" t="s">
        <v>35</v>
      </c>
      <c r="G645" t="s">
        <v>28</v>
      </c>
      <c r="H645" t="s">
        <v>23</v>
      </c>
      <c r="I645" t="s">
        <v>33</v>
      </c>
      <c r="J645">
        <v>40.619999999999997</v>
      </c>
      <c r="K645">
        <v>2</v>
      </c>
      <c r="L645">
        <v>4.0620000000000003</v>
      </c>
      <c r="M645">
        <v>85.302000000000007</v>
      </c>
      <c r="N645" s="1">
        <v>43482</v>
      </c>
      <c r="O645" s="2">
        <v>0.41736111111111113</v>
      </c>
      <c r="P645" t="s">
        <v>32</v>
      </c>
      <c r="Q645">
        <v>81.239999999999995</v>
      </c>
      <c r="R645">
        <v>4.7619047620000003</v>
      </c>
      <c r="S645">
        <v>4.0620000000000003</v>
      </c>
      <c r="T645">
        <v>4.0999999999999996</v>
      </c>
    </row>
    <row r="646" spans="1:20" x14ac:dyDescent="0.3">
      <c r="A646">
        <v>588</v>
      </c>
      <c r="C646">
        <v>47</v>
      </c>
      <c r="D646">
        <v>8641</v>
      </c>
      <c r="E646" t="s">
        <v>20</v>
      </c>
      <c r="F646" t="s">
        <v>21</v>
      </c>
      <c r="G646" t="s">
        <v>22</v>
      </c>
      <c r="H646" t="s">
        <v>38</v>
      </c>
      <c r="I646" t="s">
        <v>37</v>
      </c>
      <c r="J646">
        <v>56.04</v>
      </c>
      <c r="K646">
        <v>10</v>
      </c>
      <c r="L646">
        <v>28.02</v>
      </c>
      <c r="M646">
        <v>588.41999999999996</v>
      </c>
      <c r="N646" s="1">
        <v>43479</v>
      </c>
      <c r="O646" s="2">
        <v>0.8125</v>
      </c>
      <c r="P646" t="s">
        <v>25</v>
      </c>
      <c r="Q646">
        <v>560.4</v>
      </c>
      <c r="R646">
        <v>4.7619047620000003</v>
      </c>
      <c r="S646">
        <v>28.02</v>
      </c>
      <c r="T646">
        <v>4.4000000000000004</v>
      </c>
    </row>
    <row r="647" spans="1:20" x14ac:dyDescent="0.3">
      <c r="A647">
        <v>642</v>
      </c>
      <c r="C647">
        <v>61</v>
      </c>
      <c r="D647">
        <v>4706</v>
      </c>
      <c r="E647" t="s">
        <v>34</v>
      </c>
      <c r="F647" t="s">
        <v>35</v>
      </c>
      <c r="G647" t="s">
        <v>22</v>
      </c>
      <c r="H647" t="s">
        <v>38</v>
      </c>
      <c r="I647" t="s">
        <v>36</v>
      </c>
      <c r="J647">
        <v>93.4</v>
      </c>
      <c r="K647">
        <v>2</v>
      </c>
      <c r="L647">
        <v>9.34</v>
      </c>
      <c r="M647">
        <v>196.14</v>
      </c>
      <c r="N647" s="1">
        <v>43554</v>
      </c>
      <c r="O647" s="2">
        <v>0.69027777777777777</v>
      </c>
      <c r="P647" t="s">
        <v>30</v>
      </c>
      <c r="Q647">
        <v>186.8</v>
      </c>
      <c r="R647">
        <v>4.7619047620000003</v>
      </c>
      <c r="S647">
        <v>9.34</v>
      </c>
      <c r="T647">
        <v>5.5</v>
      </c>
    </row>
    <row r="648" spans="1:20" x14ac:dyDescent="0.3">
      <c r="A648">
        <v>576</v>
      </c>
      <c r="C648">
        <v>31</v>
      </c>
      <c r="D648">
        <v>4774</v>
      </c>
      <c r="E648" t="s">
        <v>34</v>
      </c>
      <c r="F648" t="s">
        <v>35</v>
      </c>
      <c r="G648" t="s">
        <v>28</v>
      </c>
      <c r="H648" t="s">
        <v>23</v>
      </c>
      <c r="I648" t="s">
        <v>24</v>
      </c>
      <c r="J648">
        <v>73.41</v>
      </c>
      <c r="K648">
        <v>3</v>
      </c>
      <c r="L648">
        <v>11.0115</v>
      </c>
      <c r="M648">
        <v>231.2415</v>
      </c>
      <c r="N648" s="1">
        <v>43526</v>
      </c>
      <c r="O648" s="2">
        <v>0.54861111111111116</v>
      </c>
      <c r="P648" t="s">
        <v>25</v>
      </c>
      <c r="Q648">
        <v>220.23</v>
      </c>
      <c r="R648">
        <v>4.7619047620000003</v>
      </c>
      <c r="S648">
        <v>11.0115</v>
      </c>
      <c r="T648">
        <v>4</v>
      </c>
    </row>
    <row r="649" spans="1:20" x14ac:dyDescent="0.3">
      <c r="A649">
        <v>556</v>
      </c>
      <c r="C649">
        <v>41</v>
      </c>
      <c r="D649">
        <v>6224</v>
      </c>
      <c r="E649" t="s">
        <v>26</v>
      </c>
      <c r="F649" t="s">
        <v>27</v>
      </c>
      <c r="G649" t="s">
        <v>28</v>
      </c>
      <c r="H649" t="s">
        <v>38</v>
      </c>
      <c r="I649" t="s">
        <v>24</v>
      </c>
      <c r="J649">
        <v>33.64</v>
      </c>
      <c r="K649">
        <v>8</v>
      </c>
      <c r="L649">
        <v>13.456</v>
      </c>
      <c r="M649">
        <v>282.57600000000002</v>
      </c>
      <c r="N649" s="1">
        <v>43511</v>
      </c>
      <c r="O649" s="2">
        <v>0.71527777777777779</v>
      </c>
      <c r="P649" t="s">
        <v>32</v>
      </c>
      <c r="Q649">
        <v>269.12</v>
      </c>
      <c r="R649">
        <v>4.7619047620000003</v>
      </c>
      <c r="S649">
        <v>13.456</v>
      </c>
      <c r="T649">
        <v>9.3000000000000007</v>
      </c>
    </row>
    <row r="650" spans="1:20" x14ac:dyDescent="0.3">
      <c r="A650">
        <v>811</v>
      </c>
      <c r="C650">
        <v>3</v>
      </c>
      <c r="D650">
        <v>8790</v>
      </c>
      <c r="E650" t="s">
        <v>20</v>
      </c>
      <c r="F650" t="s">
        <v>21</v>
      </c>
      <c r="G650" t="s">
        <v>28</v>
      </c>
      <c r="H650" t="s">
        <v>23</v>
      </c>
      <c r="I650" t="s">
        <v>29</v>
      </c>
      <c r="J650">
        <v>45.48</v>
      </c>
      <c r="K650">
        <v>10</v>
      </c>
      <c r="L650">
        <v>22.74</v>
      </c>
      <c r="M650">
        <v>477.54</v>
      </c>
      <c r="N650" s="1">
        <v>43525</v>
      </c>
      <c r="O650" s="2">
        <v>0.43194444444444446</v>
      </c>
      <c r="P650" t="s">
        <v>32</v>
      </c>
      <c r="Q650">
        <v>454.8</v>
      </c>
      <c r="R650">
        <v>4.7619047620000003</v>
      </c>
      <c r="S650">
        <v>22.74</v>
      </c>
      <c r="T650">
        <v>4.8</v>
      </c>
    </row>
    <row r="651" spans="1:20" x14ac:dyDescent="0.3">
      <c r="A651">
        <v>242</v>
      </c>
      <c r="C651">
        <v>11</v>
      </c>
      <c r="D651">
        <v>3142</v>
      </c>
      <c r="E651" t="s">
        <v>34</v>
      </c>
      <c r="F651" t="s">
        <v>35</v>
      </c>
      <c r="G651" t="s">
        <v>22</v>
      </c>
      <c r="H651" t="s">
        <v>38</v>
      </c>
      <c r="I651" t="s">
        <v>37</v>
      </c>
      <c r="J651">
        <v>83.77</v>
      </c>
      <c r="K651">
        <v>2</v>
      </c>
      <c r="L651">
        <v>8.3770000000000007</v>
      </c>
      <c r="M651">
        <v>175.917</v>
      </c>
      <c r="N651" s="1">
        <v>43520</v>
      </c>
      <c r="O651" s="2">
        <v>0.83125000000000004</v>
      </c>
      <c r="P651" t="s">
        <v>30</v>
      </c>
      <c r="Q651">
        <v>167.54</v>
      </c>
      <c r="R651">
        <v>4.7619047620000003</v>
      </c>
      <c r="S651">
        <v>8.3770000000000007</v>
      </c>
      <c r="T651">
        <v>4.5999999999999996</v>
      </c>
    </row>
    <row r="652" spans="1:20" x14ac:dyDescent="0.3">
      <c r="A652">
        <v>752</v>
      </c>
      <c r="C652">
        <v>23</v>
      </c>
      <c r="D652">
        <v>3760</v>
      </c>
      <c r="E652" t="s">
        <v>34</v>
      </c>
      <c r="F652" t="s">
        <v>35</v>
      </c>
      <c r="G652" t="s">
        <v>22</v>
      </c>
      <c r="H652" t="s">
        <v>23</v>
      </c>
      <c r="I652" t="s">
        <v>33</v>
      </c>
      <c r="J652">
        <v>64.08</v>
      </c>
      <c r="K652">
        <v>7</v>
      </c>
      <c r="L652">
        <v>22.428000000000001</v>
      </c>
      <c r="M652">
        <v>470.988</v>
      </c>
      <c r="N652" s="1">
        <v>43515</v>
      </c>
      <c r="O652" s="2">
        <v>0.81180555555555556</v>
      </c>
      <c r="P652" t="s">
        <v>32</v>
      </c>
      <c r="Q652">
        <v>448.56</v>
      </c>
      <c r="R652">
        <v>4.7619047620000003</v>
      </c>
      <c r="S652">
        <v>22.428000000000001</v>
      </c>
      <c r="T652">
        <v>7.3</v>
      </c>
    </row>
    <row r="653" spans="1:20" x14ac:dyDescent="0.3">
      <c r="A653">
        <v>274</v>
      </c>
      <c r="C653">
        <v>5</v>
      </c>
      <c r="D653">
        <v>5470</v>
      </c>
      <c r="E653" t="s">
        <v>20</v>
      </c>
      <c r="F653" t="s">
        <v>21</v>
      </c>
      <c r="G653" t="s">
        <v>22</v>
      </c>
      <c r="H653" t="s">
        <v>23</v>
      </c>
      <c r="I653" t="s">
        <v>36</v>
      </c>
      <c r="J653">
        <v>73.47</v>
      </c>
      <c r="K653">
        <v>4</v>
      </c>
      <c r="L653">
        <v>14.694000000000001</v>
      </c>
      <c r="M653">
        <v>308.57400000000001</v>
      </c>
      <c r="N653" s="1">
        <v>43519</v>
      </c>
      <c r="O653" s="2">
        <v>0.77083333333333337</v>
      </c>
      <c r="P653" t="s">
        <v>30</v>
      </c>
      <c r="Q653">
        <v>293.88</v>
      </c>
      <c r="R653">
        <v>4.7619047620000003</v>
      </c>
      <c r="S653">
        <v>14.694000000000001</v>
      </c>
      <c r="T653">
        <v>6</v>
      </c>
    </row>
    <row r="654" spans="1:20" x14ac:dyDescent="0.3">
      <c r="A654">
        <v>648</v>
      </c>
      <c r="C654">
        <v>94</v>
      </c>
      <c r="D654">
        <v>3045</v>
      </c>
      <c r="E654" t="s">
        <v>26</v>
      </c>
      <c r="F654" t="s">
        <v>27</v>
      </c>
      <c r="G654" t="s">
        <v>28</v>
      </c>
      <c r="H654" t="s">
        <v>38</v>
      </c>
      <c r="I654" t="s">
        <v>24</v>
      </c>
      <c r="J654">
        <v>58.95</v>
      </c>
      <c r="K654">
        <v>10</v>
      </c>
      <c r="L654">
        <v>29.475000000000001</v>
      </c>
      <c r="M654">
        <v>618.97500000000002</v>
      </c>
      <c r="N654" s="1">
        <v>43503</v>
      </c>
      <c r="O654" s="2">
        <v>0.6020833333333333</v>
      </c>
      <c r="P654" t="s">
        <v>25</v>
      </c>
      <c r="Q654">
        <v>589.5</v>
      </c>
      <c r="R654">
        <v>4.7619047620000003</v>
      </c>
      <c r="S654">
        <v>29.475000000000001</v>
      </c>
      <c r="T654">
        <v>8.1</v>
      </c>
    </row>
    <row r="655" spans="1:20" x14ac:dyDescent="0.3">
      <c r="A655">
        <v>130</v>
      </c>
      <c r="C655">
        <v>67</v>
      </c>
      <c r="D655">
        <v>4723</v>
      </c>
      <c r="E655" t="s">
        <v>20</v>
      </c>
      <c r="F655" t="s">
        <v>21</v>
      </c>
      <c r="G655" t="s">
        <v>22</v>
      </c>
      <c r="H655" t="s">
        <v>38</v>
      </c>
      <c r="I655" t="s">
        <v>36</v>
      </c>
      <c r="J655">
        <v>48.5</v>
      </c>
      <c r="K655">
        <v>6</v>
      </c>
      <c r="L655">
        <v>14.55</v>
      </c>
      <c r="M655">
        <v>305.55</v>
      </c>
      <c r="N655" s="1">
        <v>43476</v>
      </c>
      <c r="O655" s="2">
        <v>0.58125000000000004</v>
      </c>
      <c r="P655" t="s">
        <v>25</v>
      </c>
      <c r="Q655">
        <v>291</v>
      </c>
      <c r="R655">
        <v>4.7619047620000003</v>
      </c>
      <c r="S655">
        <v>14.55</v>
      </c>
      <c r="T655">
        <v>9.4</v>
      </c>
    </row>
    <row r="656" spans="1:20" x14ac:dyDescent="0.3">
      <c r="A656">
        <v>528</v>
      </c>
      <c r="C656">
        <v>87</v>
      </c>
      <c r="D656">
        <v>5606</v>
      </c>
      <c r="E656" t="s">
        <v>34</v>
      </c>
      <c r="F656" t="s">
        <v>35</v>
      </c>
      <c r="G656" t="s">
        <v>22</v>
      </c>
      <c r="H656" t="s">
        <v>23</v>
      </c>
      <c r="I656" t="s">
        <v>29</v>
      </c>
      <c r="J656">
        <v>39.479999999999997</v>
      </c>
      <c r="K656">
        <v>1</v>
      </c>
      <c r="L656">
        <v>1.974</v>
      </c>
      <c r="M656">
        <v>41.454000000000001</v>
      </c>
      <c r="N656" s="1">
        <v>43508</v>
      </c>
      <c r="O656" s="2">
        <v>0.82152777777777775</v>
      </c>
      <c r="P656" t="s">
        <v>30</v>
      </c>
      <c r="Q656">
        <v>39.479999999999997</v>
      </c>
      <c r="R656">
        <v>4.7619047620000003</v>
      </c>
      <c r="S656">
        <v>1.974</v>
      </c>
      <c r="T656">
        <v>6.5</v>
      </c>
    </row>
    <row r="657" spans="1:20" x14ac:dyDescent="0.3">
      <c r="A657">
        <v>320</v>
      </c>
      <c r="C657">
        <v>85</v>
      </c>
      <c r="D657">
        <v>2052</v>
      </c>
      <c r="E657" t="s">
        <v>34</v>
      </c>
      <c r="F657" t="s">
        <v>35</v>
      </c>
      <c r="G657" t="s">
        <v>28</v>
      </c>
      <c r="H657" t="s">
        <v>23</v>
      </c>
      <c r="I657" t="s">
        <v>33</v>
      </c>
      <c r="J657">
        <v>34.81</v>
      </c>
      <c r="K657">
        <v>1</v>
      </c>
      <c r="L657">
        <v>1.7404999999999999</v>
      </c>
      <c r="M657">
        <v>36.5505</v>
      </c>
      <c r="N657" s="1">
        <v>43479</v>
      </c>
      <c r="O657" s="2">
        <v>0.42430555555555555</v>
      </c>
      <c r="P657" t="s">
        <v>32</v>
      </c>
      <c r="Q657">
        <v>34.81</v>
      </c>
      <c r="R657">
        <v>4.7619047620000003</v>
      </c>
      <c r="S657">
        <v>1.7404999999999999</v>
      </c>
      <c r="T657">
        <v>7</v>
      </c>
    </row>
    <row r="658" spans="1:20" x14ac:dyDescent="0.3">
      <c r="A658">
        <v>370</v>
      </c>
      <c r="C658">
        <v>96</v>
      </c>
      <c r="D658">
        <v>655</v>
      </c>
      <c r="E658" t="s">
        <v>26</v>
      </c>
      <c r="F658" t="s">
        <v>27</v>
      </c>
      <c r="G658" t="s">
        <v>28</v>
      </c>
      <c r="H658" t="s">
        <v>23</v>
      </c>
      <c r="I658" t="s">
        <v>37</v>
      </c>
      <c r="J658">
        <v>49.32</v>
      </c>
      <c r="K658">
        <v>6</v>
      </c>
      <c r="L658">
        <v>14.795999999999999</v>
      </c>
      <c r="M658">
        <v>310.71600000000001</v>
      </c>
      <c r="N658" s="1">
        <v>43474</v>
      </c>
      <c r="O658" s="2">
        <v>0.57361111111111107</v>
      </c>
      <c r="P658" t="s">
        <v>25</v>
      </c>
      <c r="Q658">
        <v>295.92</v>
      </c>
      <c r="R658">
        <v>4.7619047620000003</v>
      </c>
      <c r="S658">
        <v>14.795999999999999</v>
      </c>
      <c r="T658">
        <v>7.1</v>
      </c>
    </row>
    <row r="659" spans="1:20" x14ac:dyDescent="0.3">
      <c r="A659">
        <v>105</v>
      </c>
      <c r="C659">
        <v>10</v>
      </c>
      <c r="D659">
        <v>6182</v>
      </c>
      <c r="E659" t="s">
        <v>20</v>
      </c>
      <c r="F659" t="s">
        <v>21</v>
      </c>
      <c r="G659" t="s">
        <v>22</v>
      </c>
      <c r="H659" t="s">
        <v>38</v>
      </c>
      <c r="I659" t="s">
        <v>37</v>
      </c>
      <c r="J659">
        <v>21.48</v>
      </c>
      <c r="K659">
        <v>2</v>
      </c>
      <c r="L659">
        <v>2.1480000000000001</v>
      </c>
      <c r="M659">
        <v>45.107999999999997</v>
      </c>
      <c r="N659" s="1">
        <v>43523</v>
      </c>
      <c r="O659" s="2">
        <v>0.51527777777777772</v>
      </c>
      <c r="P659" t="s">
        <v>25</v>
      </c>
      <c r="Q659">
        <v>42.96</v>
      </c>
      <c r="R659">
        <v>4.7619047620000003</v>
      </c>
      <c r="S659">
        <v>2.1480000000000001</v>
      </c>
      <c r="T659">
        <v>6.6</v>
      </c>
    </row>
    <row r="660" spans="1:20" x14ac:dyDescent="0.3">
      <c r="A660">
        <v>510</v>
      </c>
      <c r="C660">
        <v>79</v>
      </c>
      <c r="D660">
        <v>415</v>
      </c>
      <c r="E660" t="s">
        <v>34</v>
      </c>
      <c r="F660" t="s">
        <v>35</v>
      </c>
      <c r="G660" t="s">
        <v>22</v>
      </c>
      <c r="H660" t="s">
        <v>23</v>
      </c>
      <c r="I660" t="s">
        <v>33</v>
      </c>
      <c r="J660">
        <v>23.08</v>
      </c>
      <c r="K660">
        <v>6</v>
      </c>
      <c r="L660">
        <v>6.9240000000000004</v>
      </c>
      <c r="M660">
        <v>145.404</v>
      </c>
      <c r="N660" s="1">
        <v>43489</v>
      </c>
      <c r="O660" s="2">
        <v>0.80555555555555558</v>
      </c>
      <c r="P660" t="s">
        <v>25</v>
      </c>
      <c r="Q660">
        <v>138.47999999999999</v>
      </c>
      <c r="R660">
        <v>4.7619047620000003</v>
      </c>
      <c r="S660">
        <v>6.9240000000000004</v>
      </c>
      <c r="T660">
        <v>4.9000000000000004</v>
      </c>
    </row>
    <row r="661" spans="1:20" x14ac:dyDescent="0.3">
      <c r="A661">
        <v>241</v>
      </c>
      <c r="C661">
        <v>96</v>
      </c>
      <c r="D661">
        <v>5076</v>
      </c>
      <c r="E661" t="s">
        <v>34</v>
      </c>
      <c r="F661" t="s">
        <v>35</v>
      </c>
      <c r="G661" t="s">
        <v>22</v>
      </c>
      <c r="H661" t="s">
        <v>23</v>
      </c>
      <c r="I661" t="s">
        <v>31</v>
      </c>
      <c r="J661">
        <v>49.1</v>
      </c>
      <c r="K661">
        <v>2</v>
      </c>
      <c r="L661">
        <v>4.91</v>
      </c>
      <c r="M661">
        <v>103.11</v>
      </c>
      <c r="N661" s="1">
        <v>43473</v>
      </c>
      <c r="O661" s="2">
        <v>0.54027777777777775</v>
      </c>
      <c r="P661" t="s">
        <v>32</v>
      </c>
      <c r="Q661">
        <v>98.2</v>
      </c>
      <c r="R661">
        <v>4.7619047620000003</v>
      </c>
      <c r="S661">
        <v>4.91</v>
      </c>
      <c r="T661">
        <v>6.4</v>
      </c>
    </row>
    <row r="662" spans="1:20" x14ac:dyDescent="0.3">
      <c r="A662">
        <v>767</v>
      </c>
      <c r="C662">
        <v>97</v>
      </c>
      <c r="D662">
        <v>4650</v>
      </c>
      <c r="E662" t="s">
        <v>34</v>
      </c>
      <c r="F662" t="s">
        <v>35</v>
      </c>
      <c r="G662" t="s">
        <v>22</v>
      </c>
      <c r="H662" t="s">
        <v>23</v>
      </c>
      <c r="I662" t="s">
        <v>33</v>
      </c>
      <c r="J662">
        <v>64.83</v>
      </c>
      <c r="K662">
        <v>2</v>
      </c>
      <c r="L662">
        <v>6.4829999999999997</v>
      </c>
      <c r="M662">
        <v>136.143</v>
      </c>
      <c r="N662" s="1">
        <v>43473</v>
      </c>
      <c r="O662" s="2">
        <v>0.49930555555555556</v>
      </c>
      <c r="P662" t="s">
        <v>32</v>
      </c>
      <c r="Q662">
        <v>129.66</v>
      </c>
      <c r="R662">
        <v>4.7619047620000003</v>
      </c>
      <c r="S662">
        <v>6.4829999999999997</v>
      </c>
      <c r="T662">
        <v>8</v>
      </c>
    </row>
    <row r="663" spans="1:20" x14ac:dyDescent="0.3">
      <c r="A663">
        <v>648</v>
      </c>
      <c r="C663">
        <v>83</v>
      </c>
      <c r="D663">
        <v>1321</v>
      </c>
      <c r="E663" t="s">
        <v>20</v>
      </c>
      <c r="F663" t="s">
        <v>21</v>
      </c>
      <c r="G663" t="s">
        <v>22</v>
      </c>
      <c r="H663" t="s">
        <v>38</v>
      </c>
      <c r="I663" t="s">
        <v>31</v>
      </c>
      <c r="J663">
        <v>63.56</v>
      </c>
      <c r="K663">
        <v>10</v>
      </c>
      <c r="L663">
        <v>31.78</v>
      </c>
      <c r="M663">
        <v>667.38</v>
      </c>
      <c r="N663" s="1">
        <v>43481</v>
      </c>
      <c r="O663" s="2">
        <v>0.74930555555555556</v>
      </c>
      <c r="P663" t="s">
        <v>30</v>
      </c>
      <c r="Q663">
        <v>635.6</v>
      </c>
      <c r="R663">
        <v>4.7619047620000003</v>
      </c>
      <c r="S663">
        <v>31.78</v>
      </c>
      <c r="T663">
        <v>4.3</v>
      </c>
    </row>
    <row r="664" spans="1:20" x14ac:dyDescent="0.3">
      <c r="A664">
        <v>173</v>
      </c>
      <c r="C664">
        <v>57</v>
      </c>
      <c r="D664">
        <v>2300</v>
      </c>
      <c r="E664" t="s">
        <v>26</v>
      </c>
      <c r="F664" t="s">
        <v>27</v>
      </c>
      <c r="G664" t="s">
        <v>22</v>
      </c>
      <c r="H664" t="s">
        <v>38</v>
      </c>
      <c r="I664" t="s">
        <v>33</v>
      </c>
      <c r="J664">
        <v>72.88</v>
      </c>
      <c r="K664">
        <v>2</v>
      </c>
      <c r="L664">
        <v>7.2880000000000003</v>
      </c>
      <c r="M664">
        <v>153.048</v>
      </c>
      <c r="N664" s="1">
        <v>43537</v>
      </c>
      <c r="O664" s="2">
        <v>0.53541666666666665</v>
      </c>
      <c r="P664" t="s">
        <v>30</v>
      </c>
      <c r="Q664">
        <v>145.76</v>
      </c>
      <c r="R664">
        <v>4.7619047620000003</v>
      </c>
      <c r="S664">
        <v>7.2880000000000003</v>
      </c>
      <c r="T664">
        <v>6.1</v>
      </c>
    </row>
    <row r="665" spans="1:20" x14ac:dyDescent="0.3">
      <c r="A665">
        <v>305</v>
      </c>
      <c r="C665">
        <v>3</v>
      </c>
      <c r="D665">
        <v>2383</v>
      </c>
      <c r="E665" t="s">
        <v>20</v>
      </c>
      <c r="F665" t="s">
        <v>21</v>
      </c>
      <c r="G665" t="s">
        <v>28</v>
      </c>
      <c r="H665" t="s">
        <v>23</v>
      </c>
      <c r="I665" t="s">
        <v>36</v>
      </c>
      <c r="J665">
        <v>67.099999999999994</v>
      </c>
      <c r="K665">
        <v>3</v>
      </c>
      <c r="L665">
        <v>10.065</v>
      </c>
      <c r="M665">
        <v>211.36500000000001</v>
      </c>
      <c r="N665" s="1">
        <v>43511</v>
      </c>
      <c r="O665" s="2">
        <v>0.44166666666666665</v>
      </c>
      <c r="P665" t="s">
        <v>30</v>
      </c>
      <c r="Q665">
        <v>201.3</v>
      </c>
      <c r="R665">
        <v>4.7619047620000003</v>
      </c>
      <c r="S665">
        <v>10.065</v>
      </c>
      <c r="T665">
        <v>7.5</v>
      </c>
    </row>
    <row r="666" spans="1:20" x14ac:dyDescent="0.3">
      <c r="A666">
        <v>394</v>
      </c>
      <c r="C666">
        <v>55</v>
      </c>
      <c r="D666">
        <v>6384</v>
      </c>
      <c r="E666" t="s">
        <v>26</v>
      </c>
      <c r="F666" t="s">
        <v>27</v>
      </c>
      <c r="G666" t="s">
        <v>22</v>
      </c>
      <c r="H666" t="s">
        <v>23</v>
      </c>
      <c r="I666" t="s">
        <v>33</v>
      </c>
      <c r="J666">
        <v>70.19</v>
      </c>
      <c r="K666">
        <v>9</v>
      </c>
      <c r="L666">
        <v>31.5855</v>
      </c>
      <c r="M666">
        <v>663.29549999999995</v>
      </c>
      <c r="N666" s="1">
        <v>43490</v>
      </c>
      <c r="O666" s="2">
        <v>0.56805555555555554</v>
      </c>
      <c r="P666" t="s">
        <v>30</v>
      </c>
      <c r="Q666">
        <v>631.71</v>
      </c>
      <c r="R666">
        <v>4.7619047620000003</v>
      </c>
      <c r="S666">
        <v>31.5855</v>
      </c>
      <c r="T666">
        <v>6.7</v>
      </c>
    </row>
    <row r="667" spans="1:20" x14ac:dyDescent="0.3">
      <c r="A667">
        <v>266</v>
      </c>
      <c r="C667">
        <v>20</v>
      </c>
      <c r="D667">
        <v>6657</v>
      </c>
      <c r="E667" t="s">
        <v>26</v>
      </c>
      <c r="F667" t="s">
        <v>27</v>
      </c>
      <c r="G667" t="s">
        <v>22</v>
      </c>
      <c r="H667" t="s">
        <v>38</v>
      </c>
      <c r="I667" t="s">
        <v>36</v>
      </c>
      <c r="J667">
        <v>55.04</v>
      </c>
      <c r="K667">
        <v>7</v>
      </c>
      <c r="L667">
        <v>19.263999999999999</v>
      </c>
      <c r="M667">
        <v>404.54399999999998</v>
      </c>
      <c r="N667" s="1">
        <v>43536</v>
      </c>
      <c r="O667" s="2">
        <v>0.81874999999999998</v>
      </c>
      <c r="P667" t="s">
        <v>25</v>
      </c>
      <c r="Q667">
        <v>385.28</v>
      </c>
      <c r="R667">
        <v>4.7619047620000003</v>
      </c>
      <c r="S667">
        <v>19.263999999999999</v>
      </c>
      <c r="T667">
        <v>5.2</v>
      </c>
    </row>
    <row r="668" spans="1:20" x14ac:dyDescent="0.3">
      <c r="A668">
        <v>689</v>
      </c>
      <c r="C668">
        <v>5</v>
      </c>
      <c r="D668">
        <v>1884</v>
      </c>
      <c r="E668" t="s">
        <v>20</v>
      </c>
      <c r="F668" t="s">
        <v>21</v>
      </c>
      <c r="G668" t="s">
        <v>22</v>
      </c>
      <c r="H668" t="s">
        <v>38</v>
      </c>
      <c r="I668" t="s">
        <v>24</v>
      </c>
      <c r="J668">
        <v>48.63</v>
      </c>
      <c r="K668">
        <v>10</v>
      </c>
      <c r="L668">
        <v>24.315000000000001</v>
      </c>
      <c r="M668">
        <v>510.61500000000001</v>
      </c>
      <c r="N668" s="1">
        <v>43528</v>
      </c>
      <c r="O668" s="2">
        <v>0.53055555555555556</v>
      </c>
      <c r="P668" t="s">
        <v>30</v>
      </c>
      <c r="Q668">
        <v>486.3</v>
      </c>
      <c r="R668">
        <v>4.7619047620000003</v>
      </c>
      <c r="S668">
        <v>24.315000000000001</v>
      </c>
      <c r="T668">
        <v>8.8000000000000007</v>
      </c>
    </row>
    <row r="669" spans="1:20" x14ac:dyDescent="0.3">
      <c r="A669">
        <v>196</v>
      </c>
      <c r="C669">
        <v>1</v>
      </c>
      <c r="D669">
        <v>2849</v>
      </c>
      <c r="E669" t="s">
        <v>26</v>
      </c>
      <c r="F669" t="s">
        <v>27</v>
      </c>
      <c r="G669" t="s">
        <v>22</v>
      </c>
      <c r="H669" t="s">
        <v>23</v>
      </c>
      <c r="I669" t="s">
        <v>37</v>
      </c>
      <c r="J669">
        <v>73.38</v>
      </c>
      <c r="K669">
        <v>7</v>
      </c>
      <c r="L669">
        <v>25.683</v>
      </c>
      <c r="M669">
        <v>539.34299999999996</v>
      </c>
      <c r="N669" s="1">
        <v>43506</v>
      </c>
      <c r="O669" s="2">
        <v>0.5805555555555556</v>
      </c>
      <c r="P669" t="s">
        <v>30</v>
      </c>
      <c r="Q669">
        <v>513.66</v>
      </c>
      <c r="R669">
        <v>4.7619047620000003</v>
      </c>
      <c r="S669">
        <v>25.683</v>
      </c>
      <c r="T669">
        <v>9.5</v>
      </c>
    </row>
    <row r="670" spans="1:20" x14ac:dyDescent="0.3">
      <c r="A670">
        <v>372</v>
      </c>
      <c r="C670">
        <v>62</v>
      </c>
      <c r="D670">
        <v>5264</v>
      </c>
      <c r="E670" t="s">
        <v>26</v>
      </c>
      <c r="F670" t="s">
        <v>27</v>
      </c>
      <c r="G670" t="s">
        <v>28</v>
      </c>
      <c r="H670" t="s">
        <v>23</v>
      </c>
      <c r="I670" t="s">
        <v>36</v>
      </c>
      <c r="J670">
        <v>52.6</v>
      </c>
      <c r="K670">
        <v>9</v>
      </c>
      <c r="L670">
        <v>23.67</v>
      </c>
      <c r="M670">
        <v>497.07</v>
      </c>
      <c r="N670" s="1">
        <v>43481</v>
      </c>
      <c r="O670" s="2">
        <v>0.61250000000000004</v>
      </c>
      <c r="P670" t="s">
        <v>30</v>
      </c>
      <c r="Q670">
        <v>473.4</v>
      </c>
      <c r="R670">
        <v>4.7619047620000003</v>
      </c>
      <c r="S670">
        <v>23.67</v>
      </c>
      <c r="T670">
        <v>7.6</v>
      </c>
    </row>
    <row r="671" spans="1:20" x14ac:dyDescent="0.3">
      <c r="A671">
        <v>800</v>
      </c>
      <c r="C671">
        <v>9</v>
      </c>
      <c r="D671">
        <v>8606</v>
      </c>
      <c r="E671" t="s">
        <v>20</v>
      </c>
      <c r="F671" t="s">
        <v>21</v>
      </c>
      <c r="G671" t="s">
        <v>22</v>
      </c>
      <c r="H671" t="s">
        <v>23</v>
      </c>
      <c r="I671" t="s">
        <v>31</v>
      </c>
      <c r="J671">
        <v>87.37</v>
      </c>
      <c r="K671">
        <v>5</v>
      </c>
      <c r="L671">
        <v>21.842500000000001</v>
      </c>
      <c r="M671">
        <v>458.6925</v>
      </c>
      <c r="N671" s="1">
        <v>43494</v>
      </c>
      <c r="O671" s="2">
        <v>0.82291666666666663</v>
      </c>
      <c r="P671" t="s">
        <v>30</v>
      </c>
      <c r="Q671">
        <v>436.85</v>
      </c>
      <c r="R671">
        <v>4.7619047620000003</v>
      </c>
      <c r="S671">
        <v>21.842500000000001</v>
      </c>
      <c r="T671">
        <v>6.6</v>
      </c>
    </row>
    <row r="672" spans="1:20" x14ac:dyDescent="0.3">
      <c r="A672">
        <v>182</v>
      </c>
      <c r="C672">
        <v>52</v>
      </c>
      <c r="D672">
        <v>7000</v>
      </c>
      <c r="E672" t="s">
        <v>20</v>
      </c>
      <c r="F672" t="s">
        <v>21</v>
      </c>
      <c r="G672" t="s">
        <v>22</v>
      </c>
      <c r="H672" t="s">
        <v>23</v>
      </c>
      <c r="I672" t="s">
        <v>33</v>
      </c>
      <c r="J672">
        <v>27.04</v>
      </c>
      <c r="K672">
        <v>4</v>
      </c>
      <c r="L672">
        <v>5.4080000000000004</v>
      </c>
      <c r="M672">
        <v>113.568</v>
      </c>
      <c r="N672" s="1">
        <v>43466</v>
      </c>
      <c r="O672" s="2">
        <v>0.85138888888888886</v>
      </c>
      <c r="P672" t="s">
        <v>25</v>
      </c>
      <c r="Q672">
        <v>108.16</v>
      </c>
      <c r="R672">
        <v>4.7619047620000003</v>
      </c>
      <c r="S672">
        <v>5.4080000000000004</v>
      </c>
      <c r="T672">
        <v>6.9</v>
      </c>
    </row>
    <row r="673" spans="1:20" x14ac:dyDescent="0.3">
      <c r="A673">
        <v>826</v>
      </c>
      <c r="C673">
        <v>58</v>
      </c>
      <c r="D673">
        <v>8051</v>
      </c>
      <c r="E673" t="s">
        <v>34</v>
      </c>
      <c r="F673" t="s">
        <v>35</v>
      </c>
      <c r="G673" t="s">
        <v>28</v>
      </c>
      <c r="H673" t="s">
        <v>38</v>
      </c>
      <c r="I673" t="s">
        <v>31</v>
      </c>
      <c r="J673">
        <v>62.19</v>
      </c>
      <c r="K673">
        <v>4</v>
      </c>
      <c r="L673">
        <v>12.438000000000001</v>
      </c>
      <c r="M673">
        <v>261.19799999999998</v>
      </c>
      <c r="N673" s="1">
        <v>43471</v>
      </c>
      <c r="O673" s="2">
        <v>0.82361111111111107</v>
      </c>
      <c r="P673" t="s">
        <v>25</v>
      </c>
      <c r="Q673">
        <v>248.76</v>
      </c>
      <c r="R673">
        <v>4.7619047620000003</v>
      </c>
      <c r="S673">
        <v>12.438000000000001</v>
      </c>
      <c r="T673">
        <v>4.3</v>
      </c>
    </row>
    <row r="674" spans="1:20" x14ac:dyDescent="0.3">
      <c r="A674">
        <v>868</v>
      </c>
      <c r="C674">
        <v>6</v>
      </c>
      <c r="D674">
        <v>466</v>
      </c>
      <c r="E674" t="s">
        <v>20</v>
      </c>
      <c r="F674" t="s">
        <v>21</v>
      </c>
      <c r="G674" t="s">
        <v>22</v>
      </c>
      <c r="H674" t="s">
        <v>38</v>
      </c>
      <c r="I674" t="s">
        <v>29</v>
      </c>
      <c r="J674">
        <v>69.58</v>
      </c>
      <c r="K674">
        <v>9</v>
      </c>
      <c r="L674">
        <v>31.311</v>
      </c>
      <c r="M674">
        <v>657.53099999999995</v>
      </c>
      <c r="N674" s="1">
        <v>43515</v>
      </c>
      <c r="O674" s="2">
        <v>0.81805555555555554</v>
      </c>
      <c r="P674" t="s">
        <v>32</v>
      </c>
      <c r="Q674">
        <v>626.22</v>
      </c>
      <c r="R674">
        <v>4.7619047620000003</v>
      </c>
      <c r="S674">
        <v>31.311</v>
      </c>
      <c r="T674">
        <v>7.8</v>
      </c>
    </row>
    <row r="675" spans="1:20" x14ac:dyDescent="0.3">
      <c r="A675">
        <v>751</v>
      </c>
      <c r="C675">
        <v>41</v>
      </c>
      <c r="D675">
        <v>9720</v>
      </c>
      <c r="E675" t="s">
        <v>26</v>
      </c>
      <c r="F675" t="s">
        <v>27</v>
      </c>
      <c r="G675" t="s">
        <v>28</v>
      </c>
      <c r="H675" t="s">
        <v>38</v>
      </c>
      <c r="I675" t="s">
        <v>31</v>
      </c>
      <c r="J675">
        <v>97.5</v>
      </c>
      <c r="K675">
        <v>10</v>
      </c>
      <c r="L675">
        <v>48.75</v>
      </c>
      <c r="M675">
        <v>1023.75</v>
      </c>
      <c r="N675" s="1">
        <v>43477</v>
      </c>
      <c r="O675" s="2">
        <v>0.6791666666666667</v>
      </c>
      <c r="P675" t="s">
        <v>25</v>
      </c>
      <c r="Q675">
        <v>975</v>
      </c>
      <c r="R675">
        <v>4.7619047620000003</v>
      </c>
      <c r="S675">
        <v>48.75</v>
      </c>
      <c r="T675">
        <v>8</v>
      </c>
    </row>
    <row r="676" spans="1:20" x14ac:dyDescent="0.3">
      <c r="A676">
        <v>626</v>
      </c>
      <c r="C676">
        <v>43</v>
      </c>
      <c r="D676">
        <v>7888</v>
      </c>
      <c r="E676" t="s">
        <v>26</v>
      </c>
      <c r="F676" t="s">
        <v>27</v>
      </c>
      <c r="G676" t="s">
        <v>28</v>
      </c>
      <c r="H676" t="s">
        <v>23</v>
      </c>
      <c r="I676" t="s">
        <v>37</v>
      </c>
      <c r="J676">
        <v>60.41</v>
      </c>
      <c r="K676">
        <v>8</v>
      </c>
      <c r="L676">
        <v>24.164000000000001</v>
      </c>
      <c r="M676">
        <v>507.44400000000002</v>
      </c>
      <c r="N676" s="1">
        <v>43503</v>
      </c>
      <c r="O676" s="2">
        <v>0.51597222222222228</v>
      </c>
      <c r="P676" t="s">
        <v>25</v>
      </c>
      <c r="Q676">
        <v>483.28</v>
      </c>
      <c r="R676">
        <v>4.7619047620000003</v>
      </c>
      <c r="S676">
        <v>24.164000000000001</v>
      </c>
      <c r="T676">
        <v>9.6</v>
      </c>
    </row>
    <row r="677" spans="1:20" x14ac:dyDescent="0.3">
      <c r="A677">
        <v>176</v>
      </c>
      <c r="C677">
        <v>64</v>
      </c>
      <c r="D677">
        <v>7711</v>
      </c>
      <c r="E677" t="s">
        <v>34</v>
      </c>
      <c r="F677" t="s">
        <v>35</v>
      </c>
      <c r="G677" t="s">
        <v>28</v>
      </c>
      <c r="H677" t="s">
        <v>38</v>
      </c>
      <c r="I677" t="s">
        <v>36</v>
      </c>
      <c r="J677">
        <v>32.32</v>
      </c>
      <c r="K677">
        <v>3</v>
      </c>
      <c r="L677">
        <v>4.8479999999999999</v>
      </c>
      <c r="M677">
        <v>101.80800000000001</v>
      </c>
      <c r="N677" s="1">
        <v>43551</v>
      </c>
      <c r="O677" s="2">
        <v>0.7993055555555556</v>
      </c>
      <c r="P677" t="s">
        <v>32</v>
      </c>
      <c r="Q677">
        <v>96.96</v>
      </c>
      <c r="R677">
        <v>4.7619047620000003</v>
      </c>
      <c r="S677">
        <v>4.8479999999999999</v>
      </c>
      <c r="T677">
        <v>4.3</v>
      </c>
    </row>
    <row r="678" spans="1:20" x14ac:dyDescent="0.3">
      <c r="A678">
        <v>191</v>
      </c>
      <c r="C678">
        <v>29</v>
      </c>
      <c r="D678">
        <v>321</v>
      </c>
      <c r="E678" t="s">
        <v>34</v>
      </c>
      <c r="F678" t="s">
        <v>35</v>
      </c>
      <c r="G678" t="s">
        <v>22</v>
      </c>
      <c r="H678" t="s">
        <v>23</v>
      </c>
      <c r="I678" t="s">
        <v>37</v>
      </c>
      <c r="J678">
        <v>19.77</v>
      </c>
      <c r="K678">
        <v>10</v>
      </c>
      <c r="L678">
        <v>9.8849999999999998</v>
      </c>
      <c r="M678">
        <v>207.58500000000001</v>
      </c>
      <c r="N678" s="1">
        <v>43523</v>
      </c>
      <c r="O678" s="2">
        <v>0.7895833333333333</v>
      </c>
      <c r="P678" t="s">
        <v>32</v>
      </c>
      <c r="Q678">
        <v>197.7</v>
      </c>
      <c r="R678">
        <v>4.7619047620000003</v>
      </c>
      <c r="S678">
        <v>9.8849999999999998</v>
      </c>
      <c r="T678">
        <v>5</v>
      </c>
    </row>
    <row r="679" spans="1:20" x14ac:dyDescent="0.3">
      <c r="A679">
        <v>729</v>
      </c>
      <c r="C679">
        <v>6</v>
      </c>
      <c r="D679">
        <v>2010</v>
      </c>
      <c r="E679" t="s">
        <v>34</v>
      </c>
      <c r="F679" t="s">
        <v>35</v>
      </c>
      <c r="G679" t="s">
        <v>22</v>
      </c>
      <c r="H679" t="s">
        <v>38</v>
      </c>
      <c r="I679" t="s">
        <v>24</v>
      </c>
      <c r="J679">
        <v>80.47</v>
      </c>
      <c r="K679">
        <v>9</v>
      </c>
      <c r="L679">
        <v>36.211500000000001</v>
      </c>
      <c r="M679">
        <v>760.44150000000002</v>
      </c>
      <c r="N679" s="1">
        <v>43471</v>
      </c>
      <c r="O679" s="2">
        <v>0.47083333333333333</v>
      </c>
      <c r="P679" t="s">
        <v>30</v>
      </c>
      <c r="Q679">
        <v>724.23</v>
      </c>
      <c r="R679">
        <v>4.7619047620000003</v>
      </c>
      <c r="S679">
        <v>36.211500000000001</v>
      </c>
      <c r="T679">
        <v>9.1999999999999993</v>
      </c>
    </row>
    <row r="680" spans="1:20" x14ac:dyDescent="0.3">
      <c r="A680">
        <v>640</v>
      </c>
      <c r="C680">
        <v>48</v>
      </c>
      <c r="D680">
        <v>5028</v>
      </c>
      <c r="E680" t="s">
        <v>34</v>
      </c>
      <c r="F680" t="s">
        <v>35</v>
      </c>
      <c r="G680" t="s">
        <v>22</v>
      </c>
      <c r="H680" t="s">
        <v>23</v>
      </c>
      <c r="I680" t="s">
        <v>31</v>
      </c>
      <c r="J680">
        <v>88.39</v>
      </c>
      <c r="K680">
        <v>9</v>
      </c>
      <c r="L680">
        <v>39.775500000000001</v>
      </c>
      <c r="M680">
        <v>835.28549999999996</v>
      </c>
      <c r="N680" s="1">
        <v>43526</v>
      </c>
      <c r="O680" s="2">
        <v>0.52777777777777779</v>
      </c>
      <c r="P680" t="s">
        <v>30</v>
      </c>
      <c r="Q680">
        <v>795.51</v>
      </c>
      <c r="R680">
        <v>4.7619047620000003</v>
      </c>
      <c r="S680">
        <v>39.775500000000001</v>
      </c>
      <c r="T680">
        <v>6.3</v>
      </c>
    </row>
    <row r="681" spans="1:20" x14ac:dyDescent="0.3">
      <c r="A681">
        <v>186</v>
      </c>
      <c r="C681">
        <v>79</v>
      </c>
      <c r="D681">
        <v>9562</v>
      </c>
      <c r="E681" t="s">
        <v>34</v>
      </c>
      <c r="F681" t="s">
        <v>35</v>
      </c>
      <c r="G681" t="s">
        <v>28</v>
      </c>
      <c r="H681" t="s">
        <v>38</v>
      </c>
      <c r="I681" t="s">
        <v>24</v>
      </c>
      <c r="J681">
        <v>71.77</v>
      </c>
      <c r="K681">
        <v>7</v>
      </c>
      <c r="L681">
        <v>25.119499999999999</v>
      </c>
      <c r="M681">
        <v>527.5095</v>
      </c>
      <c r="N681" s="1">
        <v>43553</v>
      </c>
      <c r="O681" s="2">
        <v>0.58750000000000002</v>
      </c>
      <c r="P681" t="s">
        <v>30</v>
      </c>
      <c r="Q681">
        <v>502.39</v>
      </c>
      <c r="R681">
        <v>4.7619047620000003</v>
      </c>
      <c r="S681">
        <v>25.119499999999999</v>
      </c>
      <c r="T681">
        <v>8.9</v>
      </c>
    </row>
    <row r="682" spans="1:20" x14ac:dyDescent="0.3">
      <c r="A682">
        <v>834</v>
      </c>
      <c r="C682">
        <v>45</v>
      </c>
      <c r="D682">
        <v>5519</v>
      </c>
      <c r="E682" t="s">
        <v>34</v>
      </c>
      <c r="F682" t="s">
        <v>35</v>
      </c>
      <c r="G682" t="s">
        <v>28</v>
      </c>
      <c r="H682" t="s">
        <v>23</v>
      </c>
      <c r="I682" t="s">
        <v>29</v>
      </c>
      <c r="J682">
        <v>43</v>
      </c>
      <c r="K682">
        <v>4</v>
      </c>
      <c r="L682">
        <v>8.6</v>
      </c>
      <c r="M682">
        <v>180.6</v>
      </c>
      <c r="N682" s="1">
        <v>43496</v>
      </c>
      <c r="O682" s="2">
        <v>0.8666666666666667</v>
      </c>
      <c r="P682" t="s">
        <v>25</v>
      </c>
      <c r="Q682">
        <v>172</v>
      </c>
      <c r="R682">
        <v>4.7619047620000003</v>
      </c>
      <c r="S682">
        <v>8.6</v>
      </c>
      <c r="T682">
        <v>7.6</v>
      </c>
    </row>
    <row r="683" spans="1:20" x14ac:dyDescent="0.3">
      <c r="A683">
        <v>162</v>
      </c>
      <c r="C683">
        <v>65</v>
      </c>
      <c r="D683">
        <v>8559</v>
      </c>
      <c r="E683" t="s">
        <v>26</v>
      </c>
      <c r="F683" t="s">
        <v>27</v>
      </c>
      <c r="G683" t="s">
        <v>22</v>
      </c>
      <c r="H683" t="s">
        <v>38</v>
      </c>
      <c r="I683" t="s">
        <v>36</v>
      </c>
      <c r="J683">
        <v>68.98</v>
      </c>
      <c r="K683">
        <v>1</v>
      </c>
      <c r="L683">
        <v>3.4489999999999998</v>
      </c>
      <c r="M683">
        <v>72.429000000000002</v>
      </c>
      <c r="N683" s="1">
        <v>43486</v>
      </c>
      <c r="O683" s="2">
        <v>0.84236111111111112</v>
      </c>
      <c r="P683" t="s">
        <v>30</v>
      </c>
      <c r="Q683">
        <v>68.98</v>
      </c>
      <c r="R683">
        <v>4.7619047620000003</v>
      </c>
      <c r="S683">
        <v>3.4489999999999998</v>
      </c>
      <c r="T683">
        <v>4.8</v>
      </c>
    </row>
    <row r="684" spans="1:20" x14ac:dyDescent="0.3">
      <c r="A684">
        <v>760</v>
      </c>
      <c r="C684">
        <v>27</v>
      </c>
      <c r="D684">
        <v>5490</v>
      </c>
      <c r="E684" t="s">
        <v>26</v>
      </c>
      <c r="F684" t="s">
        <v>27</v>
      </c>
      <c r="G684" t="s">
        <v>28</v>
      </c>
      <c r="H684" t="s">
        <v>38</v>
      </c>
      <c r="I684" t="s">
        <v>37</v>
      </c>
      <c r="J684">
        <v>15.62</v>
      </c>
      <c r="K684">
        <v>8</v>
      </c>
      <c r="L684">
        <v>6.2480000000000002</v>
      </c>
      <c r="M684">
        <v>131.208</v>
      </c>
      <c r="N684" s="1">
        <v>43485</v>
      </c>
      <c r="O684" s="2">
        <v>0.85902777777777772</v>
      </c>
      <c r="P684" t="s">
        <v>25</v>
      </c>
      <c r="Q684">
        <v>124.96</v>
      </c>
      <c r="R684">
        <v>4.7619047620000003</v>
      </c>
      <c r="S684">
        <v>6.2480000000000002</v>
      </c>
      <c r="T684">
        <v>9.1</v>
      </c>
    </row>
    <row r="685" spans="1:20" x14ac:dyDescent="0.3">
      <c r="A685">
        <v>445</v>
      </c>
      <c r="C685">
        <v>30</v>
      </c>
      <c r="D685">
        <v>9252</v>
      </c>
      <c r="E685" t="s">
        <v>20</v>
      </c>
      <c r="F685" t="s">
        <v>21</v>
      </c>
      <c r="G685" t="s">
        <v>28</v>
      </c>
      <c r="H685" t="s">
        <v>38</v>
      </c>
      <c r="I685" t="s">
        <v>33</v>
      </c>
      <c r="J685">
        <v>25.7</v>
      </c>
      <c r="K685">
        <v>3</v>
      </c>
      <c r="L685">
        <v>3.855</v>
      </c>
      <c r="M685">
        <v>80.954999999999998</v>
      </c>
      <c r="N685" s="1">
        <v>43482</v>
      </c>
      <c r="O685" s="2">
        <v>0.74930555555555556</v>
      </c>
      <c r="P685" t="s">
        <v>25</v>
      </c>
      <c r="Q685">
        <v>77.099999999999994</v>
      </c>
      <c r="R685">
        <v>4.7619047620000003</v>
      </c>
      <c r="S685">
        <v>3.855</v>
      </c>
      <c r="T685">
        <v>6.1</v>
      </c>
    </row>
    <row r="686" spans="1:20" x14ac:dyDescent="0.3">
      <c r="A686">
        <v>786</v>
      </c>
      <c r="C686">
        <v>94</v>
      </c>
      <c r="D686">
        <v>2700</v>
      </c>
      <c r="E686" t="s">
        <v>20</v>
      </c>
      <c r="F686" t="s">
        <v>21</v>
      </c>
      <c r="G686" t="s">
        <v>22</v>
      </c>
      <c r="H686" t="s">
        <v>38</v>
      </c>
      <c r="I686" t="s">
        <v>36</v>
      </c>
      <c r="J686">
        <v>80.62</v>
      </c>
      <c r="K686">
        <v>6</v>
      </c>
      <c r="L686">
        <v>24.186</v>
      </c>
      <c r="M686">
        <v>507.90600000000001</v>
      </c>
      <c r="N686" s="1">
        <v>43524</v>
      </c>
      <c r="O686" s="2">
        <v>0.84583333333333333</v>
      </c>
      <c r="P686" t="s">
        <v>30</v>
      </c>
      <c r="Q686">
        <v>483.72</v>
      </c>
      <c r="R686">
        <v>4.7619047620000003</v>
      </c>
      <c r="S686">
        <v>24.186</v>
      </c>
      <c r="T686">
        <v>9.1</v>
      </c>
    </row>
    <row r="687" spans="1:20" x14ac:dyDescent="0.3">
      <c r="A687">
        <v>728</v>
      </c>
      <c r="C687">
        <v>88</v>
      </c>
      <c r="D687">
        <v>7867</v>
      </c>
      <c r="E687" t="s">
        <v>26</v>
      </c>
      <c r="F687" t="s">
        <v>27</v>
      </c>
      <c r="G687" t="s">
        <v>22</v>
      </c>
      <c r="H687" t="s">
        <v>23</v>
      </c>
      <c r="I687" t="s">
        <v>31</v>
      </c>
      <c r="J687">
        <v>75.53</v>
      </c>
      <c r="K687">
        <v>4</v>
      </c>
      <c r="L687">
        <v>15.106</v>
      </c>
      <c r="M687">
        <v>317.226</v>
      </c>
      <c r="N687" s="1">
        <v>43543</v>
      </c>
      <c r="O687" s="2">
        <v>0.66111111111111109</v>
      </c>
      <c r="P687" t="s">
        <v>25</v>
      </c>
      <c r="Q687">
        <v>302.12</v>
      </c>
      <c r="R687">
        <v>4.7619047620000003</v>
      </c>
      <c r="S687">
        <v>15.106</v>
      </c>
      <c r="T687">
        <v>8.3000000000000007</v>
      </c>
    </row>
    <row r="688" spans="1:20" x14ac:dyDescent="0.3">
      <c r="A688">
        <v>183</v>
      </c>
      <c r="C688">
        <v>21</v>
      </c>
      <c r="D688">
        <v>3799</v>
      </c>
      <c r="E688" t="s">
        <v>26</v>
      </c>
      <c r="F688" t="s">
        <v>27</v>
      </c>
      <c r="G688" t="s">
        <v>28</v>
      </c>
      <c r="H688" t="s">
        <v>23</v>
      </c>
      <c r="I688" t="s">
        <v>29</v>
      </c>
      <c r="J688">
        <v>77.63</v>
      </c>
      <c r="K688">
        <v>9</v>
      </c>
      <c r="L688">
        <v>34.933500000000002</v>
      </c>
      <c r="M688">
        <v>733.60350000000005</v>
      </c>
      <c r="N688" s="1">
        <v>43515</v>
      </c>
      <c r="O688" s="2">
        <v>0.63472222222222219</v>
      </c>
      <c r="P688" t="s">
        <v>25</v>
      </c>
      <c r="Q688">
        <v>698.67</v>
      </c>
      <c r="R688">
        <v>4.7619047620000003</v>
      </c>
      <c r="S688">
        <v>34.933500000000002</v>
      </c>
      <c r="T688">
        <v>7.2</v>
      </c>
    </row>
    <row r="689" spans="1:20" x14ac:dyDescent="0.3">
      <c r="A689">
        <v>268</v>
      </c>
      <c r="C689">
        <v>20</v>
      </c>
      <c r="D689">
        <v>3585</v>
      </c>
      <c r="E689" t="s">
        <v>26</v>
      </c>
      <c r="F689" t="s">
        <v>27</v>
      </c>
      <c r="G689" t="s">
        <v>28</v>
      </c>
      <c r="H689" t="s">
        <v>23</v>
      </c>
      <c r="I689" t="s">
        <v>24</v>
      </c>
      <c r="J689">
        <v>13.85</v>
      </c>
      <c r="K689">
        <v>9</v>
      </c>
      <c r="L689">
        <v>6.2324999999999999</v>
      </c>
      <c r="M689">
        <v>130.88249999999999</v>
      </c>
      <c r="N689" s="1">
        <v>43500</v>
      </c>
      <c r="O689" s="2">
        <v>0.53472222222222221</v>
      </c>
      <c r="P689" t="s">
        <v>25</v>
      </c>
      <c r="Q689">
        <v>124.65</v>
      </c>
      <c r="R689">
        <v>4.7619047620000003</v>
      </c>
      <c r="S689">
        <v>6.2324999999999999</v>
      </c>
      <c r="T689">
        <v>6</v>
      </c>
    </row>
    <row r="690" spans="1:20" x14ac:dyDescent="0.3">
      <c r="A690">
        <v>735</v>
      </c>
      <c r="C690">
        <v>32</v>
      </c>
      <c r="D690">
        <v>9839</v>
      </c>
      <c r="E690" t="s">
        <v>26</v>
      </c>
      <c r="F690" t="s">
        <v>27</v>
      </c>
      <c r="G690" t="s">
        <v>22</v>
      </c>
      <c r="H690" t="s">
        <v>38</v>
      </c>
      <c r="I690" t="s">
        <v>37</v>
      </c>
      <c r="J690">
        <v>98.7</v>
      </c>
      <c r="K690">
        <v>8</v>
      </c>
      <c r="L690">
        <v>39.479999999999997</v>
      </c>
      <c r="M690">
        <v>829.08</v>
      </c>
      <c r="N690" s="1">
        <v>43496</v>
      </c>
      <c r="O690" s="2">
        <v>0.44166666666666665</v>
      </c>
      <c r="P690" t="s">
        <v>25</v>
      </c>
      <c r="Q690">
        <v>789.6</v>
      </c>
      <c r="R690">
        <v>4.7619047620000003</v>
      </c>
      <c r="S690">
        <v>39.479999999999997</v>
      </c>
      <c r="T690">
        <v>8.5</v>
      </c>
    </row>
    <row r="691" spans="1:20" x14ac:dyDescent="0.3">
      <c r="A691">
        <v>258</v>
      </c>
      <c r="C691">
        <v>92</v>
      </c>
      <c r="D691">
        <v>7466</v>
      </c>
      <c r="E691" t="s">
        <v>20</v>
      </c>
      <c r="F691" t="s">
        <v>21</v>
      </c>
      <c r="G691" t="s">
        <v>28</v>
      </c>
      <c r="H691" t="s">
        <v>23</v>
      </c>
      <c r="I691" t="s">
        <v>24</v>
      </c>
      <c r="J691">
        <v>35.68</v>
      </c>
      <c r="K691">
        <v>5</v>
      </c>
      <c r="L691">
        <v>8.92</v>
      </c>
      <c r="M691">
        <v>187.32</v>
      </c>
      <c r="N691" s="1">
        <v>43502</v>
      </c>
      <c r="O691" s="2">
        <v>0.7729166666666667</v>
      </c>
      <c r="P691" t="s">
        <v>32</v>
      </c>
      <c r="Q691">
        <v>178.4</v>
      </c>
      <c r="R691">
        <v>4.7619047620000003</v>
      </c>
      <c r="S691">
        <v>8.92</v>
      </c>
      <c r="T691">
        <v>6.6</v>
      </c>
    </row>
    <row r="692" spans="1:20" x14ac:dyDescent="0.3">
      <c r="A692">
        <v>857</v>
      </c>
      <c r="C692">
        <v>16</v>
      </c>
      <c r="D692">
        <v>3520</v>
      </c>
      <c r="E692" t="s">
        <v>20</v>
      </c>
      <c r="F692" t="s">
        <v>21</v>
      </c>
      <c r="G692" t="s">
        <v>22</v>
      </c>
      <c r="H692" t="s">
        <v>23</v>
      </c>
      <c r="I692" t="s">
        <v>37</v>
      </c>
      <c r="J692">
        <v>71.459999999999994</v>
      </c>
      <c r="K692">
        <v>7</v>
      </c>
      <c r="L692">
        <v>25.010999999999999</v>
      </c>
      <c r="M692">
        <v>525.23099999999999</v>
      </c>
      <c r="N692" s="1">
        <v>43552</v>
      </c>
      <c r="O692" s="2">
        <v>0.67083333333333328</v>
      </c>
      <c r="P692" t="s">
        <v>25</v>
      </c>
      <c r="Q692">
        <v>500.22</v>
      </c>
      <c r="R692">
        <v>4.7619047620000003</v>
      </c>
      <c r="S692">
        <v>25.010999999999999</v>
      </c>
      <c r="T692">
        <v>4.5</v>
      </c>
    </row>
    <row r="693" spans="1:20" x14ac:dyDescent="0.3">
      <c r="A693">
        <v>482</v>
      </c>
      <c r="C693">
        <v>17</v>
      </c>
      <c r="D693">
        <v>1179</v>
      </c>
      <c r="E693" t="s">
        <v>20</v>
      </c>
      <c r="F693" t="s">
        <v>21</v>
      </c>
      <c r="G693" t="s">
        <v>22</v>
      </c>
      <c r="H693" t="s">
        <v>38</v>
      </c>
      <c r="I693" t="s">
        <v>29</v>
      </c>
      <c r="J693">
        <v>11.94</v>
      </c>
      <c r="K693">
        <v>3</v>
      </c>
      <c r="L693">
        <v>1.7909999999999999</v>
      </c>
      <c r="M693">
        <v>37.610999999999997</v>
      </c>
      <c r="N693" s="1">
        <v>43484</v>
      </c>
      <c r="O693" s="2">
        <v>0.53263888888888888</v>
      </c>
      <c r="P693" t="s">
        <v>32</v>
      </c>
      <c r="Q693">
        <v>35.82</v>
      </c>
      <c r="R693">
        <v>4.7619047620000003</v>
      </c>
      <c r="S693">
        <v>1.7909999999999999</v>
      </c>
      <c r="T693">
        <v>8.1</v>
      </c>
    </row>
    <row r="694" spans="1:20" x14ac:dyDescent="0.3">
      <c r="A694">
        <v>788</v>
      </c>
      <c r="C694">
        <v>21</v>
      </c>
      <c r="D694">
        <v>5741</v>
      </c>
      <c r="E694" t="s">
        <v>20</v>
      </c>
      <c r="F694" t="s">
        <v>21</v>
      </c>
      <c r="G694" t="s">
        <v>28</v>
      </c>
      <c r="H694" t="s">
        <v>38</v>
      </c>
      <c r="I694" t="s">
        <v>37</v>
      </c>
      <c r="J694">
        <v>45.38</v>
      </c>
      <c r="K694">
        <v>3</v>
      </c>
      <c r="L694">
        <v>6.8070000000000004</v>
      </c>
      <c r="M694">
        <v>142.947</v>
      </c>
      <c r="N694" s="1">
        <v>43513</v>
      </c>
      <c r="O694" s="2">
        <v>0.56527777777777777</v>
      </c>
      <c r="P694" t="s">
        <v>32</v>
      </c>
      <c r="Q694">
        <v>136.13999999999999</v>
      </c>
      <c r="R694">
        <v>4.7619047620000003</v>
      </c>
      <c r="S694">
        <v>6.8070000000000004</v>
      </c>
      <c r="T694">
        <v>7.2</v>
      </c>
    </row>
    <row r="695" spans="1:20" x14ac:dyDescent="0.3">
      <c r="A695">
        <v>821</v>
      </c>
      <c r="C695">
        <v>14</v>
      </c>
      <c r="D695">
        <v>9046</v>
      </c>
      <c r="E695" t="s">
        <v>34</v>
      </c>
      <c r="F695" t="s">
        <v>35</v>
      </c>
      <c r="G695" t="s">
        <v>22</v>
      </c>
      <c r="H695" t="s">
        <v>23</v>
      </c>
      <c r="I695" t="s">
        <v>37</v>
      </c>
      <c r="J695">
        <v>17.48</v>
      </c>
      <c r="K695">
        <v>6</v>
      </c>
      <c r="L695">
        <v>5.2439999999999998</v>
      </c>
      <c r="M695">
        <v>110.124</v>
      </c>
      <c r="N695" s="1">
        <v>43483</v>
      </c>
      <c r="O695" s="2">
        <v>0.62777777777777777</v>
      </c>
      <c r="P695" t="s">
        <v>32</v>
      </c>
      <c r="Q695">
        <v>104.88</v>
      </c>
      <c r="R695">
        <v>4.7619047620000003</v>
      </c>
      <c r="S695">
        <v>5.2439999999999998</v>
      </c>
      <c r="T695">
        <v>6.1</v>
      </c>
    </row>
    <row r="696" spans="1:20" x14ac:dyDescent="0.3">
      <c r="A696">
        <v>418</v>
      </c>
      <c r="C696">
        <v>5</v>
      </c>
      <c r="D696">
        <v>656</v>
      </c>
      <c r="E696" t="s">
        <v>34</v>
      </c>
      <c r="F696" t="s">
        <v>35</v>
      </c>
      <c r="G696" t="s">
        <v>28</v>
      </c>
      <c r="H696" t="s">
        <v>23</v>
      </c>
      <c r="I696" t="s">
        <v>37</v>
      </c>
      <c r="J696">
        <v>25.56</v>
      </c>
      <c r="K696">
        <v>7</v>
      </c>
      <c r="L696">
        <v>8.9459999999999997</v>
      </c>
      <c r="M696">
        <v>187.86600000000001</v>
      </c>
      <c r="N696" s="1">
        <v>43498</v>
      </c>
      <c r="O696" s="2">
        <v>0.86250000000000004</v>
      </c>
      <c r="P696" t="s">
        <v>30</v>
      </c>
      <c r="Q696">
        <v>178.92</v>
      </c>
      <c r="R696">
        <v>4.7619047620000003</v>
      </c>
      <c r="S696">
        <v>8.9459999999999997</v>
      </c>
      <c r="T696">
        <v>7.1</v>
      </c>
    </row>
    <row r="697" spans="1:20" x14ac:dyDescent="0.3">
      <c r="A697">
        <v>678</v>
      </c>
      <c r="C697">
        <v>79</v>
      </c>
      <c r="D697">
        <v>726</v>
      </c>
      <c r="E697" t="s">
        <v>26</v>
      </c>
      <c r="F697" t="s">
        <v>27</v>
      </c>
      <c r="G697" t="s">
        <v>22</v>
      </c>
      <c r="H697" t="s">
        <v>23</v>
      </c>
      <c r="I697" t="s">
        <v>33</v>
      </c>
      <c r="J697">
        <v>90.63</v>
      </c>
      <c r="K697">
        <v>9</v>
      </c>
      <c r="L697">
        <v>40.783499999999997</v>
      </c>
      <c r="M697">
        <v>856.45349999999996</v>
      </c>
      <c r="N697" s="1">
        <v>43483</v>
      </c>
      <c r="O697" s="2">
        <v>0.64444444444444449</v>
      </c>
      <c r="P697" t="s">
        <v>30</v>
      </c>
      <c r="Q697">
        <v>815.67</v>
      </c>
      <c r="R697">
        <v>4.7619047620000003</v>
      </c>
      <c r="S697">
        <v>40.783499999999997</v>
      </c>
      <c r="T697">
        <v>5.0999999999999996</v>
      </c>
    </row>
    <row r="698" spans="1:20" x14ac:dyDescent="0.3">
      <c r="A698">
        <v>776</v>
      </c>
      <c r="C698">
        <v>68</v>
      </c>
      <c r="D698">
        <v>1096</v>
      </c>
      <c r="E698" t="s">
        <v>34</v>
      </c>
      <c r="F698" t="s">
        <v>35</v>
      </c>
      <c r="G698" t="s">
        <v>28</v>
      </c>
      <c r="H698" t="s">
        <v>38</v>
      </c>
      <c r="I698" t="s">
        <v>31</v>
      </c>
      <c r="J698">
        <v>44.12</v>
      </c>
      <c r="K698">
        <v>3</v>
      </c>
      <c r="L698">
        <v>6.6180000000000003</v>
      </c>
      <c r="M698">
        <v>138.97800000000001</v>
      </c>
      <c r="N698" s="1">
        <v>43542</v>
      </c>
      <c r="O698" s="2">
        <v>0.57291666666666663</v>
      </c>
      <c r="P698" t="s">
        <v>32</v>
      </c>
      <c r="Q698">
        <v>132.36000000000001</v>
      </c>
      <c r="R698">
        <v>4.7619047620000003</v>
      </c>
      <c r="S698">
        <v>6.6180000000000003</v>
      </c>
      <c r="T698">
        <v>7.9</v>
      </c>
    </row>
    <row r="699" spans="1:20" x14ac:dyDescent="0.3">
      <c r="A699">
        <v>592</v>
      </c>
      <c r="C699">
        <v>46</v>
      </c>
      <c r="D699">
        <v>1692</v>
      </c>
      <c r="E699" t="s">
        <v>26</v>
      </c>
      <c r="F699" t="s">
        <v>27</v>
      </c>
      <c r="G699" t="s">
        <v>22</v>
      </c>
      <c r="H699" t="s">
        <v>23</v>
      </c>
      <c r="I699" t="s">
        <v>36</v>
      </c>
      <c r="J699">
        <v>36.770000000000003</v>
      </c>
      <c r="K699">
        <v>7</v>
      </c>
      <c r="L699">
        <v>12.8695</v>
      </c>
      <c r="M699">
        <v>270.2595</v>
      </c>
      <c r="N699" s="1">
        <v>43476</v>
      </c>
      <c r="O699" s="2">
        <v>0.84027777777777779</v>
      </c>
      <c r="P699" t="s">
        <v>30</v>
      </c>
      <c r="Q699">
        <v>257.39</v>
      </c>
      <c r="R699">
        <v>4.7619047620000003</v>
      </c>
      <c r="S699">
        <v>12.8695</v>
      </c>
      <c r="T699">
        <v>7.4</v>
      </c>
    </row>
    <row r="700" spans="1:20" x14ac:dyDescent="0.3">
      <c r="A700">
        <v>434</v>
      </c>
      <c r="C700">
        <v>35</v>
      </c>
      <c r="D700">
        <v>9162</v>
      </c>
      <c r="E700" t="s">
        <v>34</v>
      </c>
      <c r="F700" t="s">
        <v>35</v>
      </c>
      <c r="G700" t="s">
        <v>22</v>
      </c>
      <c r="H700" t="s">
        <v>38</v>
      </c>
      <c r="I700" t="s">
        <v>36</v>
      </c>
      <c r="J700">
        <v>23.34</v>
      </c>
      <c r="K700">
        <v>4</v>
      </c>
      <c r="L700">
        <v>4.6680000000000001</v>
      </c>
      <c r="M700">
        <v>98.028000000000006</v>
      </c>
      <c r="N700" s="1">
        <v>43500</v>
      </c>
      <c r="O700" s="2">
        <v>0.78680555555555554</v>
      </c>
      <c r="P700" t="s">
        <v>25</v>
      </c>
      <c r="Q700">
        <v>93.36</v>
      </c>
      <c r="R700">
        <v>4.7619047620000003</v>
      </c>
      <c r="S700">
        <v>4.6680000000000001</v>
      </c>
      <c r="T700">
        <v>7.4</v>
      </c>
    </row>
    <row r="701" spans="1:20" x14ac:dyDescent="0.3">
      <c r="A701">
        <v>149</v>
      </c>
      <c r="C701">
        <v>14</v>
      </c>
      <c r="D701">
        <v>304</v>
      </c>
      <c r="E701" t="s">
        <v>26</v>
      </c>
      <c r="F701" t="s">
        <v>27</v>
      </c>
      <c r="G701" t="s">
        <v>22</v>
      </c>
      <c r="H701" t="s">
        <v>23</v>
      </c>
      <c r="I701" t="s">
        <v>24</v>
      </c>
      <c r="J701">
        <v>28.5</v>
      </c>
      <c r="K701">
        <v>8</v>
      </c>
      <c r="L701">
        <v>11.4</v>
      </c>
      <c r="M701">
        <v>239.4</v>
      </c>
      <c r="N701" s="1">
        <v>43502</v>
      </c>
      <c r="O701" s="2">
        <v>0.6</v>
      </c>
      <c r="P701" t="s">
        <v>30</v>
      </c>
      <c r="Q701">
        <v>228</v>
      </c>
      <c r="R701">
        <v>4.7619047620000003</v>
      </c>
      <c r="S701">
        <v>11.4</v>
      </c>
      <c r="T701">
        <v>6.6</v>
      </c>
    </row>
    <row r="702" spans="1:20" x14ac:dyDescent="0.3">
      <c r="A702">
        <v>442</v>
      </c>
      <c r="C702">
        <v>44</v>
      </c>
      <c r="D702">
        <v>6497</v>
      </c>
      <c r="E702" t="s">
        <v>26</v>
      </c>
      <c r="F702" t="s">
        <v>27</v>
      </c>
      <c r="G702" t="s">
        <v>22</v>
      </c>
      <c r="H702" t="s">
        <v>38</v>
      </c>
      <c r="I702" t="s">
        <v>31</v>
      </c>
      <c r="J702">
        <v>55.57</v>
      </c>
      <c r="K702">
        <v>3</v>
      </c>
      <c r="L702">
        <v>8.3354999999999997</v>
      </c>
      <c r="M702">
        <v>175.0455</v>
      </c>
      <c r="N702" s="1">
        <v>43473</v>
      </c>
      <c r="O702" s="2">
        <v>0.48749999999999999</v>
      </c>
      <c r="P702" t="s">
        <v>32</v>
      </c>
      <c r="Q702">
        <v>166.71</v>
      </c>
      <c r="R702">
        <v>4.7619047620000003</v>
      </c>
      <c r="S702">
        <v>8.3354999999999997</v>
      </c>
      <c r="T702">
        <v>5.9</v>
      </c>
    </row>
    <row r="703" spans="1:20" x14ac:dyDescent="0.3">
      <c r="A703">
        <v>174</v>
      </c>
      <c r="C703">
        <v>64</v>
      </c>
      <c r="D703">
        <v>215</v>
      </c>
      <c r="E703" t="s">
        <v>34</v>
      </c>
      <c r="F703" t="s">
        <v>35</v>
      </c>
      <c r="G703" t="s">
        <v>28</v>
      </c>
      <c r="H703" t="s">
        <v>38</v>
      </c>
      <c r="I703" t="s">
        <v>33</v>
      </c>
      <c r="J703">
        <v>69.739999999999995</v>
      </c>
      <c r="K703">
        <v>10</v>
      </c>
      <c r="L703">
        <v>34.869999999999997</v>
      </c>
      <c r="M703">
        <v>732.27</v>
      </c>
      <c r="N703" s="1">
        <v>43529</v>
      </c>
      <c r="O703" s="2">
        <v>0.74236111111111114</v>
      </c>
      <c r="P703" t="s">
        <v>32</v>
      </c>
      <c r="Q703">
        <v>697.4</v>
      </c>
      <c r="R703">
        <v>4.7619047620000003</v>
      </c>
      <c r="S703">
        <v>34.869999999999997</v>
      </c>
      <c r="T703">
        <v>8.9</v>
      </c>
    </row>
    <row r="704" spans="1:20" x14ac:dyDescent="0.3">
      <c r="A704">
        <v>210</v>
      </c>
      <c r="C704">
        <v>74</v>
      </c>
      <c r="D704">
        <v>9613</v>
      </c>
      <c r="E704" t="s">
        <v>26</v>
      </c>
      <c r="F704" t="s">
        <v>27</v>
      </c>
      <c r="G704" t="s">
        <v>28</v>
      </c>
      <c r="H704" t="s">
        <v>38</v>
      </c>
      <c r="I704" t="s">
        <v>37</v>
      </c>
      <c r="J704">
        <v>97.26</v>
      </c>
      <c r="K704">
        <v>4</v>
      </c>
      <c r="L704">
        <v>19.452000000000002</v>
      </c>
      <c r="M704">
        <v>408.49200000000002</v>
      </c>
      <c r="N704" s="1">
        <v>43540</v>
      </c>
      <c r="O704" s="2">
        <v>0.6479166666666667</v>
      </c>
      <c r="P704" t="s">
        <v>25</v>
      </c>
      <c r="Q704">
        <v>389.04</v>
      </c>
      <c r="R704">
        <v>4.7619047620000003</v>
      </c>
      <c r="S704">
        <v>19.452000000000002</v>
      </c>
      <c r="T704">
        <v>6.8</v>
      </c>
    </row>
    <row r="705" spans="1:20" x14ac:dyDescent="0.3">
      <c r="A705">
        <v>299</v>
      </c>
      <c r="C705">
        <v>29</v>
      </c>
      <c r="D705">
        <v>180</v>
      </c>
      <c r="E705" t="s">
        <v>34</v>
      </c>
      <c r="F705" t="s">
        <v>35</v>
      </c>
      <c r="G705" t="s">
        <v>22</v>
      </c>
      <c r="H705" t="s">
        <v>23</v>
      </c>
      <c r="I705" t="s">
        <v>31</v>
      </c>
      <c r="J705">
        <v>52.18</v>
      </c>
      <c r="K705">
        <v>7</v>
      </c>
      <c r="L705">
        <v>18.263000000000002</v>
      </c>
      <c r="M705">
        <v>383.52300000000002</v>
      </c>
      <c r="N705" s="1">
        <v>43533</v>
      </c>
      <c r="O705" s="2">
        <v>0.45416666666666666</v>
      </c>
      <c r="P705" t="s">
        <v>30</v>
      </c>
      <c r="Q705">
        <v>365.26</v>
      </c>
      <c r="R705">
        <v>4.7619047620000003</v>
      </c>
      <c r="S705">
        <v>18.263000000000002</v>
      </c>
      <c r="T705">
        <v>9.3000000000000007</v>
      </c>
    </row>
    <row r="706" spans="1:20" x14ac:dyDescent="0.3">
      <c r="A706">
        <v>247</v>
      </c>
      <c r="C706">
        <v>11</v>
      </c>
      <c r="D706">
        <v>2470</v>
      </c>
      <c r="E706" t="s">
        <v>20</v>
      </c>
      <c r="F706" t="s">
        <v>21</v>
      </c>
      <c r="G706" t="s">
        <v>22</v>
      </c>
      <c r="H706" t="s">
        <v>23</v>
      </c>
      <c r="I706" t="s">
        <v>37</v>
      </c>
      <c r="J706">
        <v>22.32</v>
      </c>
      <c r="K706">
        <v>4</v>
      </c>
      <c r="L706">
        <v>4.4640000000000004</v>
      </c>
      <c r="M706">
        <v>93.744</v>
      </c>
      <c r="N706" s="1">
        <v>43525</v>
      </c>
      <c r="O706" s="2">
        <v>0.68263888888888891</v>
      </c>
      <c r="P706" t="s">
        <v>32</v>
      </c>
      <c r="Q706">
        <v>89.28</v>
      </c>
      <c r="R706">
        <v>4.7619047620000003</v>
      </c>
      <c r="S706">
        <v>4.4640000000000004</v>
      </c>
      <c r="T706">
        <v>4.4000000000000004</v>
      </c>
    </row>
    <row r="707" spans="1:20" x14ac:dyDescent="0.3">
      <c r="A707">
        <v>635</v>
      </c>
      <c r="C707">
        <v>28</v>
      </c>
      <c r="D707">
        <v>5728</v>
      </c>
      <c r="E707" t="s">
        <v>20</v>
      </c>
      <c r="F707" t="s">
        <v>21</v>
      </c>
      <c r="G707" t="s">
        <v>28</v>
      </c>
      <c r="H707" t="s">
        <v>38</v>
      </c>
      <c r="I707" t="s">
        <v>24</v>
      </c>
      <c r="J707">
        <v>56</v>
      </c>
      <c r="K707">
        <v>3</v>
      </c>
      <c r="L707">
        <v>8.4</v>
      </c>
      <c r="M707">
        <v>176.4</v>
      </c>
      <c r="N707" s="1">
        <v>43524</v>
      </c>
      <c r="O707" s="2">
        <v>0.81458333333333333</v>
      </c>
      <c r="P707" t="s">
        <v>25</v>
      </c>
      <c r="Q707">
        <v>168</v>
      </c>
      <c r="R707">
        <v>4.7619047620000003</v>
      </c>
      <c r="S707">
        <v>8.4</v>
      </c>
      <c r="T707">
        <v>4.8</v>
      </c>
    </row>
    <row r="708" spans="1:20" x14ac:dyDescent="0.3">
      <c r="A708">
        <v>756</v>
      </c>
      <c r="C708">
        <v>49</v>
      </c>
      <c r="D708">
        <v>168</v>
      </c>
      <c r="E708" t="s">
        <v>20</v>
      </c>
      <c r="F708" t="s">
        <v>21</v>
      </c>
      <c r="G708" t="s">
        <v>22</v>
      </c>
      <c r="H708" t="s">
        <v>38</v>
      </c>
      <c r="I708" t="s">
        <v>37</v>
      </c>
      <c r="J708">
        <v>19.7</v>
      </c>
      <c r="K708">
        <v>1</v>
      </c>
      <c r="L708">
        <v>0.98499999999999999</v>
      </c>
      <c r="M708">
        <v>20.684999999999999</v>
      </c>
      <c r="N708" s="1">
        <v>43504</v>
      </c>
      <c r="O708" s="2">
        <v>0.48541666666666666</v>
      </c>
      <c r="P708" t="s">
        <v>25</v>
      </c>
      <c r="Q708">
        <v>19.7</v>
      </c>
      <c r="R708">
        <v>4.7619047620000003</v>
      </c>
      <c r="S708">
        <v>0.98499999999999999</v>
      </c>
      <c r="T708">
        <v>9.5</v>
      </c>
    </row>
    <row r="709" spans="1:20" x14ac:dyDescent="0.3">
      <c r="A709">
        <v>438</v>
      </c>
      <c r="C709">
        <v>23</v>
      </c>
      <c r="D709">
        <v>1242</v>
      </c>
      <c r="E709" t="s">
        <v>34</v>
      </c>
      <c r="F709" t="s">
        <v>35</v>
      </c>
      <c r="G709" t="s">
        <v>28</v>
      </c>
      <c r="H709" t="s">
        <v>38</v>
      </c>
      <c r="I709" t="s">
        <v>29</v>
      </c>
      <c r="J709">
        <v>75.88</v>
      </c>
      <c r="K709">
        <v>7</v>
      </c>
      <c r="L709">
        <v>26.558</v>
      </c>
      <c r="M709">
        <v>557.71799999999996</v>
      </c>
      <c r="N709" s="1">
        <v>43489</v>
      </c>
      <c r="O709" s="2">
        <v>0.44305555555555554</v>
      </c>
      <c r="P709" t="s">
        <v>25</v>
      </c>
      <c r="Q709">
        <v>531.16</v>
      </c>
      <c r="R709">
        <v>4.7619047620000003</v>
      </c>
      <c r="S709">
        <v>26.558</v>
      </c>
      <c r="T709">
        <v>8.9</v>
      </c>
    </row>
    <row r="710" spans="1:20" x14ac:dyDescent="0.3">
      <c r="A710">
        <v>238</v>
      </c>
      <c r="C710">
        <v>45</v>
      </c>
      <c r="D710">
        <v>6950</v>
      </c>
      <c r="E710" t="s">
        <v>34</v>
      </c>
      <c r="F710" t="s">
        <v>35</v>
      </c>
      <c r="G710" t="s">
        <v>22</v>
      </c>
      <c r="H710" t="s">
        <v>38</v>
      </c>
      <c r="I710" t="s">
        <v>36</v>
      </c>
      <c r="J710">
        <v>53.72</v>
      </c>
      <c r="K710">
        <v>1</v>
      </c>
      <c r="L710">
        <v>2.6859999999999999</v>
      </c>
      <c r="M710">
        <v>56.405999999999999</v>
      </c>
      <c r="N710" s="1">
        <v>43525</v>
      </c>
      <c r="O710" s="2">
        <v>0.8354166666666667</v>
      </c>
      <c r="P710" t="s">
        <v>25</v>
      </c>
      <c r="Q710">
        <v>53.72</v>
      </c>
      <c r="R710">
        <v>4.7619047620000003</v>
      </c>
      <c r="S710">
        <v>2.6859999999999999</v>
      </c>
      <c r="T710">
        <v>6.4</v>
      </c>
    </row>
    <row r="711" spans="1:20" x14ac:dyDescent="0.3">
      <c r="A711">
        <v>607</v>
      </c>
      <c r="C711">
        <v>65</v>
      </c>
      <c r="D711">
        <v>2441</v>
      </c>
      <c r="E711" t="s">
        <v>26</v>
      </c>
      <c r="F711" t="s">
        <v>27</v>
      </c>
      <c r="G711" t="s">
        <v>22</v>
      </c>
      <c r="H711" t="s">
        <v>38</v>
      </c>
      <c r="I711" t="s">
        <v>24</v>
      </c>
      <c r="J711">
        <v>81.95</v>
      </c>
      <c r="K711">
        <v>10</v>
      </c>
      <c r="L711">
        <v>40.975000000000001</v>
      </c>
      <c r="M711">
        <v>860.47500000000002</v>
      </c>
      <c r="N711" s="1">
        <v>43534</v>
      </c>
      <c r="O711" s="2">
        <v>0.52708333333333335</v>
      </c>
      <c r="P711" t="s">
        <v>32</v>
      </c>
      <c r="Q711">
        <v>819.5</v>
      </c>
      <c r="R711">
        <v>4.7619047620000003</v>
      </c>
      <c r="S711">
        <v>40.975000000000001</v>
      </c>
      <c r="T711">
        <v>6</v>
      </c>
    </row>
    <row r="712" spans="1:20" x14ac:dyDescent="0.3">
      <c r="A712">
        <v>386</v>
      </c>
      <c r="C712">
        <v>27</v>
      </c>
      <c r="D712">
        <v>7606</v>
      </c>
      <c r="E712" t="s">
        <v>26</v>
      </c>
      <c r="F712" t="s">
        <v>27</v>
      </c>
      <c r="G712" t="s">
        <v>22</v>
      </c>
      <c r="H712" t="s">
        <v>23</v>
      </c>
      <c r="I712" t="s">
        <v>31</v>
      </c>
      <c r="J712">
        <v>81.2</v>
      </c>
      <c r="K712">
        <v>7</v>
      </c>
      <c r="L712">
        <v>28.42</v>
      </c>
      <c r="M712">
        <v>596.82000000000005</v>
      </c>
      <c r="N712" s="1">
        <v>43547</v>
      </c>
      <c r="O712" s="2">
        <v>0.66597222222222219</v>
      </c>
      <c r="P712" t="s">
        <v>32</v>
      </c>
      <c r="Q712">
        <v>568.4</v>
      </c>
      <c r="R712">
        <v>4.7619047620000003</v>
      </c>
      <c r="S712">
        <v>28.42</v>
      </c>
      <c r="T712">
        <v>8.1</v>
      </c>
    </row>
    <row r="713" spans="1:20" x14ac:dyDescent="0.3">
      <c r="A713">
        <v>137</v>
      </c>
      <c r="C713">
        <v>63</v>
      </c>
      <c r="D713">
        <v>5492</v>
      </c>
      <c r="E713" t="s">
        <v>26</v>
      </c>
      <c r="F713" t="s">
        <v>27</v>
      </c>
      <c r="G713" t="s">
        <v>28</v>
      </c>
      <c r="H713" t="s">
        <v>38</v>
      </c>
      <c r="I713" t="s">
        <v>29</v>
      </c>
      <c r="J713">
        <v>58.76</v>
      </c>
      <c r="K713">
        <v>10</v>
      </c>
      <c r="L713">
        <v>29.38</v>
      </c>
      <c r="M713">
        <v>616.98</v>
      </c>
      <c r="N713" s="1">
        <v>43494</v>
      </c>
      <c r="O713" s="2">
        <v>0.60138888888888886</v>
      </c>
      <c r="P713" t="s">
        <v>25</v>
      </c>
      <c r="Q713">
        <v>587.6</v>
      </c>
      <c r="R713">
        <v>4.7619047620000003</v>
      </c>
      <c r="S713">
        <v>29.38</v>
      </c>
      <c r="T713">
        <v>9</v>
      </c>
    </row>
    <row r="714" spans="1:20" x14ac:dyDescent="0.3">
      <c r="A714">
        <v>197</v>
      </c>
      <c r="C714">
        <v>77</v>
      </c>
      <c r="D714">
        <v>7132</v>
      </c>
      <c r="E714" t="s">
        <v>34</v>
      </c>
      <c r="F714" t="s">
        <v>35</v>
      </c>
      <c r="G714" t="s">
        <v>22</v>
      </c>
      <c r="H714" t="s">
        <v>38</v>
      </c>
      <c r="I714" t="s">
        <v>29</v>
      </c>
      <c r="J714">
        <v>91.56</v>
      </c>
      <c r="K714">
        <v>8</v>
      </c>
      <c r="L714">
        <v>36.624000000000002</v>
      </c>
      <c r="M714">
        <v>769.10400000000004</v>
      </c>
      <c r="N714" s="1">
        <v>43477</v>
      </c>
      <c r="O714" s="2">
        <v>0.76527777777777772</v>
      </c>
      <c r="P714" t="s">
        <v>25</v>
      </c>
      <c r="Q714">
        <v>732.48</v>
      </c>
      <c r="R714">
        <v>4.7619047620000003</v>
      </c>
      <c r="S714">
        <v>36.624000000000002</v>
      </c>
      <c r="T714">
        <v>6</v>
      </c>
    </row>
    <row r="715" spans="1:20" x14ac:dyDescent="0.3">
      <c r="A715">
        <v>805</v>
      </c>
      <c r="C715">
        <v>86</v>
      </c>
      <c r="D715">
        <v>265</v>
      </c>
      <c r="E715" t="s">
        <v>20</v>
      </c>
      <c r="F715" t="s">
        <v>21</v>
      </c>
      <c r="G715" t="s">
        <v>28</v>
      </c>
      <c r="H715" t="s">
        <v>38</v>
      </c>
      <c r="I715" t="s">
        <v>31</v>
      </c>
      <c r="J715">
        <v>93.96</v>
      </c>
      <c r="K715">
        <v>9</v>
      </c>
      <c r="L715">
        <v>42.281999999999996</v>
      </c>
      <c r="M715">
        <v>887.92200000000003</v>
      </c>
      <c r="N715" s="1">
        <v>43544</v>
      </c>
      <c r="O715" s="2">
        <v>0.48055555555555557</v>
      </c>
      <c r="P715" t="s">
        <v>30</v>
      </c>
      <c r="Q715">
        <v>845.64</v>
      </c>
      <c r="R715">
        <v>4.7619047620000003</v>
      </c>
      <c r="S715">
        <v>42.281999999999996</v>
      </c>
      <c r="T715">
        <v>9.8000000000000007</v>
      </c>
    </row>
    <row r="716" spans="1:20" x14ac:dyDescent="0.3">
      <c r="A716">
        <v>733</v>
      </c>
      <c r="C716">
        <v>29</v>
      </c>
      <c r="D716">
        <v>1227</v>
      </c>
      <c r="E716" t="s">
        <v>26</v>
      </c>
      <c r="F716" t="s">
        <v>27</v>
      </c>
      <c r="G716" t="s">
        <v>28</v>
      </c>
      <c r="H716" t="s">
        <v>38</v>
      </c>
      <c r="I716" t="s">
        <v>31</v>
      </c>
      <c r="J716">
        <v>55.61</v>
      </c>
      <c r="K716">
        <v>7</v>
      </c>
      <c r="L716">
        <v>19.4635</v>
      </c>
      <c r="M716">
        <v>408.73349999999999</v>
      </c>
      <c r="N716" s="1">
        <v>43547</v>
      </c>
      <c r="O716" s="2">
        <v>0.52847222222222223</v>
      </c>
      <c r="P716" t="s">
        <v>30</v>
      </c>
      <c r="Q716">
        <v>389.27</v>
      </c>
      <c r="R716">
        <v>4.7619047620000003</v>
      </c>
      <c r="S716">
        <v>19.4635</v>
      </c>
      <c r="T716">
        <v>8.5</v>
      </c>
    </row>
    <row r="717" spans="1:20" x14ac:dyDescent="0.3">
      <c r="A717">
        <v>451</v>
      </c>
      <c r="C717">
        <v>73</v>
      </c>
      <c r="D717">
        <v>2711</v>
      </c>
      <c r="E717" t="s">
        <v>26</v>
      </c>
      <c r="F717" t="s">
        <v>27</v>
      </c>
      <c r="G717" t="s">
        <v>28</v>
      </c>
      <c r="H717" t="s">
        <v>38</v>
      </c>
      <c r="I717" t="s">
        <v>36</v>
      </c>
      <c r="J717">
        <v>84.83</v>
      </c>
      <c r="K717">
        <v>1</v>
      </c>
      <c r="L717">
        <v>4.2415000000000003</v>
      </c>
      <c r="M717">
        <v>89.0715</v>
      </c>
      <c r="N717" s="1">
        <v>43479</v>
      </c>
      <c r="O717" s="2">
        <v>0.63888888888888884</v>
      </c>
      <c r="P717" t="s">
        <v>25</v>
      </c>
      <c r="Q717">
        <v>84.83</v>
      </c>
      <c r="R717">
        <v>4.7619047620000003</v>
      </c>
      <c r="S717">
        <v>4.2415000000000003</v>
      </c>
      <c r="T717">
        <v>8.8000000000000007</v>
      </c>
    </row>
    <row r="718" spans="1:20" x14ac:dyDescent="0.3">
      <c r="A718">
        <v>373</v>
      </c>
      <c r="C718">
        <v>14</v>
      </c>
      <c r="D718">
        <v>504</v>
      </c>
      <c r="E718" t="s">
        <v>20</v>
      </c>
      <c r="F718" t="s">
        <v>21</v>
      </c>
      <c r="G718" t="s">
        <v>22</v>
      </c>
      <c r="H718" t="s">
        <v>23</v>
      </c>
      <c r="I718" t="s">
        <v>33</v>
      </c>
      <c r="J718">
        <v>71.63</v>
      </c>
      <c r="K718">
        <v>2</v>
      </c>
      <c r="L718">
        <v>7.1630000000000003</v>
      </c>
      <c r="M718">
        <v>150.423</v>
      </c>
      <c r="N718" s="1">
        <v>43508</v>
      </c>
      <c r="O718" s="2">
        <v>0.60624999999999996</v>
      </c>
      <c r="P718" t="s">
        <v>25</v>
      </c>
      <c r="Q718">
        <v>143.26</v>
      </c>
      <c r="R718">
        <v>4.7619047620000003</v>
      </c>
      <c r="S718">
        <v>7.1630000000000003</v>
      </c>
      <c r="T718">
        <v>8.8000000000000007</v>
      </c>
    </row>
    <row r="719" spans="1:20" x14ac:dyDescent="0.3">
      <c r="A719">
        <v>546</v>
      </c>
      <c r="C719">
        <v>80</v>
      </c>
      <c r="D719">
        <v>2899</v>
      </c>
      <c r="E719" t="s">
        <v>20</v>
      </c>
      <c r="F719" t="s">
        <v>21</v>
      </c>
      <c r="G719" t="s">
        <v>22</v>
      </c>
      <c r="H719" t="s">
        <v>38</v>
      </c>
      <c r="I719" t="s">
        <v>31</v>
      </c>
      <c r="J719">
        <v>37.69</v>
      </c>
      <c r="K719">
        <v>2</v>
      </c>
      <c r="L719">
        <v>3.7690000000000001</v>
      </c>
      <c r="M719">
        <v>79.149000000000001</v>
      </c>
      <c r="N719" s="1">
        <v>43516</v>
      </c>
      <c r="O719" s="2">
        <v>0.64513888888888893</v>
      </c>
      <c r="P719" t="s">
        <v>25</v>
      </c>
      <c r="Q719">
        <v>75.38</v>
      </c>
      <c r="R719">
        <v>4.7619047620000003</v>
      </c>
      <c r="S719">
        <v>3.7690000000000001</v>
      </c>
      <c r="T719">
        <v>9.5</v>
      </c>
    </row>
    <row r="720" spans="1:20" x14ac:dyDescent="0.3">
      <c r="A720">
        <v>345</v>
      </c>
      <c r="C720">
        <v>68</v>
      </c>
      <c r="D720">
        <v>9016</v>
      </c>
      <c r="E720" t="s">
        <v>26</v>
      </c>
      <c r="F720" t="s">
        <v>27</v>
      </c>
      <c r="G720" t="s">
        <v>22</v>
      </c>
      <c r="H720" t="s">
        <v>23</v>
      </c>
      <c r="I720" t="s">
        <v>33</v>
      </c>
      <c r="J720">
        <v>31.67</v>
      </c>
      <c r="K720">
        <v>8</v>
      </c>
      <c r="L720">
        <v>12.667999999999999</v>
      </c>
      <c r="M720">
        <v>266.02800000000002</v>
      </c>
      <c r="N720" s="1">
        <v>43467</v>
      </c>
      <c r="O720" s="2">
        <v>0.67986111111111114</v>
      </c>
      <c r="P720" t="s">
        <v>32</v>
      </c>
      <c r="Q720">
        <v>253.36</v>
      </c>
      <c r="R720">
        <v>4.7619047620000003</v>
      </c>
      <c r="S720">
        <v>12.667999999999999</v>
      </c>
      <c r="T720">
        <v>5.6</v>
      </c>
    </row>
    <row r="721" spans="1:20" x14ac:dyDescent="0.3">
      <c r="A721">
        <v>390</v>
      </c>
      <c r="C721">
        <v>17</v>
      </c>
      <c r="D721">
        <v>5806</v>
      </c>
      <c r="E721" t="s">
        <v>26</v>
      </c>
      <c r="F721" t="s">
        <v>27</v>
      </c>
      <c r="G721" t="s">
        <v>22</v>
      </c>
      <c r="H721" t="s">
        <v>23</v>
      </c>
      <c r="I721" t="s">
        <v>36</v>
      </c>
      <c r="J721">
        <v>38.42</v>
      </c>
      <c r="K721">
        <v>1</v>
      </c>
      <c r="L721">
        <v>1.921</v>
      </c>
      <c r="M721">
        <v>40.341000000000001</v>
      </c>
      <c r="N721" s="1">
        <v>43498</v>
      </c>
      <c r="O721" s="2">
        <v>0.68958333333333333</v>
      </c>
      <c r="P721" t="s">
        <v>30</v>
      </c>
      <c r="Q721">
        <v>38.42</v>
      </c>
      <c r="R721">
        <v>4.7619047620000003</v>
      </c>
      <c r="S721">
        <v>1.921</v>
      </c>
      <c r="T721">
        <v>8.6</v>
      </c>
    </row>
    <row r="722" spans="1:20" x14ac:dyDescent="0.3">
      <c r="A722">
        <v>457</v>
      </c>
      <c r="C722">
        <v>13</v>
      </c>
      <c r="D722">
        <v>1708</v>
      </c>
      <c r="E722" t="s">
        <v>34</v>
      </c>
      <c r="F722" t="s">
        <v>35</v>
      </c>
      <c r="G722" t="s">
        <v>22</v>
      </c>
      <c r="H722" t="s">
        <v>38</v>
      </c>
      <c r="I722" t="s">
        <v>37</v>
      </c>
      <c r="J722">
        <v>65.23</v>
      </c>
      <c r="K722">
        <v>10</v>
      </c>
      <c r="L722">
        <v>32.615000000000002</v>
      </c>
      <c r="M722">
        <v>684.91499999999996</v>
      </c>
      <c r="N722" s="1">
        <v>43473</v>
      </c>
      <c r="O722" s="2">
        <v>0.79652777777777772</v>
      </c>
      <c r="P722" t="s">
        <v>32</v>
      </c>
      <c r="Q722">
        <v>652.29999999999995</v>
      </c>
      <c r="R722">
        <v>4.7619047620000003</v>
      </c>
      <c r="S722">
        <v>32.615000000000002</v>
      </c>
      <c r="T722">
        <v>5.2</v>
      </c>
    </row>
    <row r="723" spans="1:20" x14ac:dyDescent="0.3">
      <c r="A723">
        <v>664</v>
      </c>
      <c r="C723">
        <v>14</v>
      </c>
      <c r="D723">
        <v>2882</v>
      </c>
      <c r="E723" t="s">
        <v>26</v>
      </c>
      <c r="F723" t="s">
        <v>27</v>
      </c>
      <c r="G723" t="s">
        <v>22</v>
      </c>
      <c r="H723" t="s">
        <v>23</v>
      </c>
      <c r="I723" t="s">
        <v>31</v>
      </c>
      <c r="J723">
        <v>10.53</v>
      </c>
      <c r="K723">
        <v>5</v>
      </c>
      <c r="L723">
        <v>2.6324999999999998</v>
      </c>
      <c r="M723">
        <v>55.282499999999999</v>
      </c>
      <c r="N723" s="1">
        <v>43495</v>
      </c>
      <c r="O723" s="2">
        <v>0.61319444444444449</v>
      </c>
      <c r="P723" t="s">
        <v>32</v>
      </c>
      <c r="Q723">
        <v>52.65</v>
      </c>
      <c r="R723">
        <v>4.7619047620000003</v>
      </c>
      <c r="S723">
        <v>2.6324999999999998</v>
      </c>
      <c r="T723">
        <v>5.8</v>
      </c>
    </row>
    <row r="724" spans="1:20" x14ac:dyDescent="0.3">
      <c r="A724">
        <v>487</v>
      </c>
      <c r="C724">
        <v>79</v>
      </c>
      <c r="D724">
        <v>6868</v>
      </c>
      <c r="E724" t="s">
        <v>34</v>
      </c>
      <c r="F724" t="s">
        <v>35</v>
      </c>
      <c r="G724" t="s">
        <v>22</v>
      </c>
      <c r="H724" t="s">
        <v>23</v>
      </c>
      <c r="I724" t="s">
        <v>31</v>
      </c>
      <c r="J724">
        <v>12.29</v>
      </c>
      <c r="K724">
        <v>9</v>
      </c>
      <c r="L724">
        <v>5.5305</v>
      </c>
      <c r="M724">
        <v>116.1405</v>
      </c>
      <c r="N724" s="1">
        <v>43550</v>
      </c>
      <c r="O724" s="2">
        <v>0.81111111111111112</v>
      </c>
      <c r="P724" t="s">
        <v>32</v>
      </c>
      <c r="Q724">
        <v>110.61</v>
      </c>
      <c r="R724">
        <v>4.7619047620000003</v>
      </c>
      <c r="S724">
        <v>5.5305</v>
      </c>
      <c r="T724">
        <v>8</v>
      </c>
    </row>
    <row r="725" spans="1:20" x14ac:dyDescent="0.3">
      <c r="A725">
        <v>314</v>
      </c>
      <c r="C725">
        <v>23</v>
      </c>
      <c r="D725">
        <v>4520</v>
      </c>
      <c r="E725" t="s">
        <v>26</v>
      </c>
      <c r="F725" t="s">
        <v>27</v>
      </c>
      <c r="G725" t="s">
        <v>22</v>
      </c>
      <c r="H725" t="s">
        <v>38</v>
      </c>
      <c r="I725" t="s">
        <v>24</v>
      </c>
      <c r="J725">
        <v>81.23</v>
      </c>
      <c r="K725">
        <v>7</v>
      </c>
      <c r="L725">
        <v>28.430499999999999</v>
      </c>
      <c r="M725">
        <v>597.04049999999995</v>
      </c>
      <c r="N725" s="1">
        <v>43480</v>
      </c>
      <c r="O725" s="2">
        <v>0.86388888888888893</v>
      </c>
      <c r="P725" t="s">
        <v>30</v>
      </c>
      <c r="Q725">
        <v>568.61</v>
      </c>
      <c r="R725">
        <v>4.7619047620000003</v>
      </c>
      <c r="S725">
        <v>28.430499999999999</v>
      </c>
      <c r="T725">
        <v>9</v>
      </c>
    </row>
    <row r="726" spans="1:20" x14ac:dyDescent="0.3">
      <c r="A726">
        <v>210</v>
      </c>
      <c r="C726">
        <v>30</v>
      </c>
      <c r="D726">
        <v>7976</v>
      </c>
      <c r="E726" t="s">
        <v>34</v>
      </c>
      <c r="F726" t="s">
        <v>35</v>
      </c>
      <c r="G726" t="s">
        <v>22</v>
      </c>
      <c r="H726" t="s">
        <v>23</v>
      </c>
      <c r="I726" t="s">
        <v>37</v>
      </c>
      <c r="J726">
        <v>22.32</v>
      </c>
      <c r="K726">
        <v>4</v>
      </c>
      <c r="L726">
        <v>4.4640000000000004</v>
      </c>
      <c r="M726">
        <v>93.744</v>
      </c>
      <c r="N726" s="1">
        <v>43538</v>
      </c>
      <c r="O726" s="2">
        <v>0.46944444444444444</v>
      </c>
      <c r="P726" t="s">
        <v>25</v>
      </c>
      <c r="Q726">
        <v>89.28</v>
      </c>
      <c r="R726">
        <v>4.7619047620000003</v>
      </c>
      <c r="S726">
        <v>4.4640000000000004</v>
      </c>
      <c r="T726">
        <v>4.0999999999999996</v>
      </c>
    </row>
    <row r="727" spans="1:20" x14ac:dyDescent="0.3">
      <c r="A727">
        <v>585</v>
      </c>
      <c r="C727">
        <v>86</v>
      </c>
      <c r="D727">
        <v>8361</v>
      </c>
      <c r="E727" t="s">
        <v>20</v>
      </c>
      <c r="F727" t="s">
        <v>21</v>
      </c>
      <c r="G727" t="s">
        <v>28</v>
      </c>
      <c r="H727" t="s">
        <v>23</v>
      </c>
      <c r="I727" t="s">
        <v>36</v>
      </c>
      <c r="J727">
        <v>27.28</v>
      </c>
      <c r="K727">
        <v>5</v>
      </c>
      <c r="L727">
        <v>6.82</v>
      </c>
      <c r="M727">
        <v>143.22</v>
      </c>
      <c r="N727" s="1">
        <v>43499</v>
      </c>
      <c r="O727" s="2">
        <v>0.43819444444444444</v>
      </c>
      <c r="P727" t="s">
        <v>32</v>
      </c>
      <c r="Q727">
        <v>136.4</v>
      </c>
      <c r="R727">
        <v>4.7619047620000003</v>
      </c>
      <c r="S727">
        <v>6.82</v>
      </c>
      <c r="T727">
        <v>8.6</v>
      </c>
    </row>
    <row r="728" spans="1:20" x14ac:dyDescent="0.3">
      <c r="A728">
        <v>807</v>
      </c>
      <c r="C728">
        <v>14</v>
      </c>
      <c r="D728">
        <v>7833</v>
      </c>
      <c r="E728" t="s">
        <v>20</v>
      </c>
      <c r="F728" t="s">
        <v>21</v>
      </c>
      <c r="G728" t="s">
        <v>22</v>
      </c>
      <c r="H728" t="s">
        <v>23</v>
      </c>
      <c r="I728" t="s">
        <v>29</v>
      </c>
      <c r="J728">
        <v>17.420000000000002</v>
      </c>
      <c r="K728">
        <v>10</v>
      </c>
      <c r="L728">
        <v>8.7100000000000009</v>
      </c>
      <c r="M728">
        <v>182.91</v>
      </c>
      <c r="N728" s="1">
        <v>43518</v>
      </c>
      <c r="O728" s="2">
        <v>0.52083333333333337</v>
      </c>
      <c r="P728" t="s">
        <v>25</v>
      </c>
      <c r="Q728">
        <v>174.2</v>
      </c>
      <c r="R728">
        <v>4.7619047620000003</v>
      </c>
      <c r="S728">
        <v>8.7100000000000009</v>
      </c>
      <c r="T728">
        <v>7</v>
      </c>
    </row>
    <row r="729" spans="1:20" x14ac:dyDescent="0.3">
      <c r="A729">
        <v>775</v>
      </c>
      <c r="C729">
        <v>72</v>
      </c>
      <c r="D729">
        <v>1988</v>
      </c>
      <c r="E729" t="s">
        <v>34</v>
      </c>
      <c r="F729" t="s">
        <v>35</v>
      </c>
      <c r="G729" t="s">
        <v>28</v>
      </c>
      <c r="H729" t="s">
        <v>38</v>
      </c>
      <c r="I729" t="s">
        <v>31</v>
      </c>
      <c r="J729">
        <v>73.28</v>
      </c>
      <c r="K729">
        <v>5</v>
      </c>
      <c r="L729">
        <v>18.32</v>
      </c>
      <c r="M729">
        <v>384.72</v>
      </c>
      <c r="N729" s="1">
        <v>43489</v>
      </c>
      <c r="O729" s="2">
        <v>0.62847222222222221</v>
      </c>
      <c r="P729" t="s">
        <v>25</v>
      </c>
      <c r="Q729">
        <v>366.4</v>
      </c>
      <c r="R729">
        <v>4.7619047620000003</v>
      </c>
      <c r="S729">
        <v>18.32</v>
      </c>
      <c r="T729">
        <v>8.4</v>
      </c>
    </row>
    <row r="730" spans="1:20" x14ac:dyDescent="0.3">
      <c r="A730">
        <v>288</v>
      </c>
      <c r="C730">
        <v>38</v>
      </c>
      <c r="D730">
        <v>3758</v>
      </c>
      <c r="E730" t="s">
        <v>26</v>
      </c>
      <c r="F730" t="s">
        <v>27</v>
      </c>
      <c r="G730" t="s">
        <v>22</v>
      </c>
      <c r="H730" t="s">
        <v>23</v>
      </c>
      <c r="I730" t="s">
        <v>37</v>
      </c>
      <c r="J730">
        <v>84.87</v>
      </c>
      <c r="K730">
        <v>3</v>
      </c>
      <c r="L730">
        <v>12.730499999999999</v>
      </c>
      <c r="M730">
        <v>267.34050000000002</v>
      </c>
      <c r="N730" s="1">
        <v>43490</v>
      </c>
      <c r="O730" s="2">
        <v>0.77083333333333337</v>
      </c>
      <c r="P730" t="s">
        <v>25</v>
      </c>
      <c r="Q730">
        <v>254.61</v>
      </c>
      <c r="R730">
        <v>4.7619047620000003</v>
      </c>
      <c r="S730">
        <v>12.730499999999999</v>
      </c>
      <c r="T730">
        <v>7.4</v>
      </c>
    </row>
    <row r="731" spans="1:20" x14ac:dyDescent="0.3">
      <c r="A731">
        <v>652</v>
      </c>
      <c r="C731">
        <v>43</v>
      </c>
      <c r="D731">
        <v>6591</v>
      </c>
      <c r="E731" t="s">
        <v>20</v>
      </c>
      <c r="F731" t="s">
        <v>21</v>
      </c>
      <c r="G731" t="s">
        <v>28</v>
      </c>
      <c r="H731" t="s">
        <v>23</v>
      </c>
      <c r="I731" t="s">
        <v>37</v>
      </c>
      <c r="J731">
        <v>97.29</v>
      </c>
      <c r="K731">
        <v>8</v>
      </c>
      <c r="L731">
        <v>38.915999999999997</v>
      </c>
      <c r="M731">
        <v>817.23599999999999</v>
      </c>
      <c r="N731" s="1">
        <v>43533</v>
      </c>
      <c r="O731" s="2">
        <v>0.5541666666666667</v>
      </c>
      <c r="P731" t="s">
        <v>32</v>
      </c>
      <c r="Q731">
        <v>778.32</v>
      </c>
      <c r="R731">
        <v>4.7619047620000003</v>
      </c>
      <c r="S731">
        <v>38.915999999999997</v>
      </c>
      <c r="T731">
        <v>6.2</v>
      </c>
    </row>
    <row r="732" spans="1:20" x14ac:dyDescent="0.3">
      <c r="A732">
        <v>785</v>
      </c>
      <c r="C732">
        <v>96</v>
      </c>
      <c r="D732">
        <v>615</v>
      </c>
      <c r="E732" t="s">
        <v>34</v>
      </c>
      <c r="F732" t="s">
        <v>35</v>
      </c>
      <c r="G732" t="s">
        <v>22</v>
      </c>
      <c r="H732" t="s">
        <v>23</v>
      </c>
      <c r="I732" t="s">
        <v>29</v>
      </c>
      <c r="J732">
        <v>35.74</v>
      </c>
      <c r="K732">
        <v>8</v>
      </c>
      <c r="L732">
        <v>14.295999999999999</v>
      </c>
      <c r="M732">
        <v>300.21600000000001</v>
      </c>
      <c r="N732" s="1">
        <v>43513</v>
      </c>
      <c r="O732" s="2">
        <v>0.64444444444444449</v>
      </c>
      <c r="P732" t="s">
        <v>25</v>
      </c>
      <c r="Q732">
        <v>285.92</v>
      </c>
      <c r="R732">
        <v>4.7619047620000003</v>
      </c>
      <c r="S732">
        <v>14.295999999999999</v>
      </c>
      <c r="T732">
        <v>4.9000000000000004</v>
      </c>
    </row>
    <row r="733" spans="1:20" x14ac:dyDescent="0.3">
      <c r="A733">
        <v>406</v>
      </c>
      <c r="C733">
        <v>46</v>
      </c>
      <c r="D733">
        <v>7107</v>
      </c>
      <c r="E733" t="s">
        <v>20</v>
      </c>
      <c r="F733" t="s">
        <v>21</v>
      </c>
      <c r="G733" t="s">
        <v>28</v>
      </c>
      <c r="H733" t="s">
        <v>23</v>
      </c>
      <c r="I733" t="s">
        <v>31</v>
      </c>
      <c r="J733">
        <v>96.52</v>
      </c>
      <c r="K733">
        <v>6</v>
      </c>
      <c r="L733">
        <v>28.956</v>
      </c>
      <c r="M733">
        <v>608.07600000000002</v>
      </c>
      <c r="N733" s="1">
        <v>43476</v>
      </c>
      <c r="O733" s="2">
        <v>0.49444444444444446</v>
      </c>
      <c r="P733" t="s">
        <v>30</v>
      </c>
      <c r="Q733">
        <v>579.12</v>
      </c>
      <c r="R733">
        <v>4.7619047620000003</v>
      </c>
      <c r="S733">
        <v>28.956</v>
      </c>
      <c r="T733">
        <v>4.5</v>
      </c>
    </row>
    <row r="734" spans="1:20" x14ac:dyDescent="0.3">
      <c r="A734">
        <v>250</v>
      </c>
      <c r="C734">
        <v>17</v>
      </c>
      <c r="D734">
        <v>5703</v>
      </c>
      <c r="E734" t="s">
        <v>20</v>
      </c>
      <c r="F734" t="s">
        <v>21</v>
      </c>
      <c r="G734" t="s">
        <v>22</v>
      </c>
      <c r="H734" t="s">
        <v>38</v>
      </c>
      <c r="I734" t="s">
        <v>36</v>
      </c>
      <c r="J734">
        <v>18.850000000000001</v>
      </c>
      <c r="K734">
        <v>10</v>
      </c>
      <c r="L734">
        <v>9.4250000000000007</v>
      </c>
      <c r="M734">
        <v>197.92500000000001</v>
      </c>
      <c r="N734" s="1">
        <v>43523</v>
      </c>
      <c r="O734" s="2">
        <v>0.76666666666666672</v>
      </c>
      <c r="P734" t="s">
        <v>25</v>
      </c>
      <c r="Q734">
        <v>188.5</v>
      </c>
      <c r="R734">
        <v>4.7619047620000003</v>
      </c>
      <c r="S734">
        <v>9.4250000000000007</v>
      </c>
      <c r="T734">
        <v>5.6</v>
      </c>
    </row>
    <row r="735" spans="1:20" x14ac:dyDescent="0.3">
      <c r="A735">
        <v>156</v>
      </c>
      <c r="C735">
        <v>95</v>
      </c>
      <c r="D735">
        <v>3964</v>
      </c>
      <c r="E735" t="s">
        <v>20</v>
      </c>
      <c r="F735" t="s">
        <v>21</v>
      </c>
      <c r="G735" t="s">
        <v>28</v>
      </c>
      <c r="H735" t="s">
        <v>23</v>
      </c>
      <c r="I735" t="s">
        <v>36</v>
      </c>
      <c r="J735">
        <v>55.39</v>
      </c>
      <c r="K735">
        <v>4</v>
      </c>
      <c r="L735">
        <v>11.077999999999999</v>
      </c>
      <c r="M735">
        <v>232.63800000000001</v>
      </c>
      <c r="N735" s="1">
        <v>43549</v>
      </c>
      <c r="O735" s="2">
        <v>0.6381944444444444</v>
      </c>
      <c r="P735" t="s">
        <v>25</v>
      </c>
      <c r="Q735">
        <v>221.56</v>
      </c>
      <c r="R735">
        <v>4.7619047620000003</v>
      </c>
      <c r="S735">
        <v>11.077999999999999</v>
      </c>
      <c r="T735">
        <v>8</v>
      </c>
    </row>
    <row r="736" spans="1:20" x14ac:dyDescent="0.3">
      <c r="A736">
        <v>842</v>
      </c>
      <c r="C736">
        <v>40</v>
      </c>
      <c r="D736">
        <v>8179</v>
      </c>
      <c r="E736" t="s">
        <v>34</v>
      </c>
      <c r="F736" t="s">
        <v>35</v>
      </c>
      <c r="G736" t="s">
        <v>22</v>
      </c>
      <c r="H736" t="s">
        <v>23</v>
      </c>
      <c r="I736" t="s">
        <v>36</v>
      </c>
      <c r="J736">
        <v>77.2</v>
      </c>
      <c r="K736">
        <v>10</v>
      </c>
      <c r="L736">
        <v>38.6</v>
      </c>
      <c r="M736">
        <v>810.6</v>
      </c>
      <c r="N736" s="1">
        <v>43507</v>
      </c>
      <c r="O736" s="2">
        <v>0.44305555555555554</v>
      </c>
      <c r="P736" t="s">
        <v>32</v>
      </c>
      <c r="Q736">
        <v>772</v>
      </c>
      <c r="R736">
        <v>4.7619047620000003</v>
      </c>
      <c r="S736">
        <v>38.6</v>
      </c>
      <c r="T736">
        <v>5.6</v>
      </c>
    </row>
    <row r="737" spans="1:20" x14ac:dyDescent="0.3">
      <c r="A737">
        <v>525</v>
      </c>
      <c r="C737">
        <v>9</v>
      </c>
      <c r="D737">
        <v>8450</v>
      </c>
      <c r="E737" t="s">
        <v>34</v>
      </c>
      <c r="F737" t="s">
        <v>35</v>
      </c>
      <c r="G737" t="s">
        <v>28</v>
      </c>
      <c r="H737" t="s">
        <v>38</v>
      </c>
      <c r="I737" t="s">
        <v>29</v>
      </c>
      <c r="J737">
        <v>72.13</v>
      </c>
      <c r="K737">
        <v>10</v>
      </c>
      <c r="L737">
        <v>36.064999999999998</v>
      </c>
      <c r="M737">
        <v>757.36500000000001</v>
      </c>
      <c r="N737" s="1">
        <v>43496</v>
      </c>
      <c r="O737" s="2">
        <v>0.6333333333333333</v>
      </c>
      <c r="P737" t="s">
        <v>32</v>
      </c>
      <c r="Q737">
        <v>721.3</v>
      </c>
      <c r="R737">
        <v>4.7619047620000003</v>
      </c>
      <c r="S737">
        <v>36.064999999999998</v>
      </c>
      <c r="T737">
        <v>4.2</v>
      </c>
    </row>
    <row r="738" spans="1:20" x14ac:dyDescent="0.3">
      <c r="A738">
        <v>410</v>
      </c>
      <c r="C738">
        <v>67</v>
      </c>
      <c r="D738">
        <v>1709</v>
      </c>
      <c r="E738" t="s">
        <v>20</v>
      </c>
      <c r="F738" t="s">
        <v>21</v>
      </c>
      <c r="G738" t="s">
        <v>22</v>
      </c>
      <c r="H738" t="s">
        <v>23</v>
      </c>
      <c r="I738" t="s">
        <v>37</v>
      </c>
      <c r="J738">
        <v>63.88</v>
      </c>
      <c r="K738">
        <v>8</v>
      </c>
      <c r="L738">
        <v>25.552</v>
      </c>
      <c r="M738">
        <v>536.59199999999998</v>
      </c>
      <c r="N738" s="1">
        <v>43485</v>
      </c>
      <c r="O738" s="2">
        <v>0.7416666666666667</v>
      </c>
      <c r="P738" t="s">
        <v>25</v>
      </c>
      <c r="Q738">
        <v>511.04</v>
      </c>
      <c r="R738">
        <v>4.7619047620000003</v>
      </c>
      <c r="S738">
        <v>25.552</v>
      </c>
      <c r="T738">
        <v>9.9</v>
      </c>
    </row>
    <row r="739" spans="1:20" x14ac:dyDescent="0.3">
      <c r="A739">
        <v>587</v>
      </c>
      <c r="C739">
        <v>73</v>
      </c>
      <c r="D739">
        <v>4862</v>
      </c>
      <c r="E739" t="s">
        <v>20</v>
      </c>
      <c r="F739" t="s">
        <v>21</v>
      </c>
      <c r="G739" t="s">
        <v>22</v>
      </c>
      <c r="H739" t="s">
        <v>23</v>
      </c>
      <c r="I739" t="s">
        <v>24</v>
      </c>
      <c r="J739">
        <v>10.69</v>
      </c>
      <c r="K739">
        <v>5</v>
      </c>
      <c r="L739">
        <v>2.6724999999999999</v>
      </c>
      <c r="M739">
        <v>56.122500000000002</v>
      </c>
      <c r="N739" s="1">
        <v>43550</v>
      </c>
      <c r="O739" s="2">
        <v>0.46319444444444446</v>
      </c>
      <c r="P739" t="s">
        <v>25</v>
      </c>
      <c r="Q739">
        <v>53.45</v>
      </c>
      <c r="R739">
        <v>4.7619047620000003</v>
      </c>
      <c r="S739">
        <v>2.6724999999999999</v>
      </c>
      <c r="T739">
        <v>7.6</v>
      </c>
    </row>
    <row r="740" spans="1:20" x14ac:dyDescent="0.3">
      <c r="A740">
        <v>787</v>
      </c>
      <c r="C740">
        <v>87</v>
      </c>
      <c r="D740">
        <v>2010</v>
      </c>
      <c r="E740" t="s">
        <v>20</v>
      </c>
      <c r="F740" t="s">
        <v>21</v>
      </c>
      <c r="G740" t="s">
        <v>22</v>
      </c>
      <c r="H740" t="s">
        <v>38</v>
      </c>
      <c r="I740" t="s">
        <v>24</v>
      </c>
      <c r="J740">
        <v>55.5</v>
      </c>
      <c r="K740">
        <v>4</v>
      </c>
      <c r="L740">
        <v>11.1</v>
      </c>
      <c r="M740">
        <v>233.1</v>
      </c>
      <c r="N740" s="1">
        <v>43485</v>
      </c>
      <c r="O740" s="2">
        <v>0.65833333333333333</v>
      </c>
      <c r="P740" t="s">
        <v>32</v>
      </c>
      <c r="Q740">
        <v>222</v>
      </c>
      <c r="R740">
        <v>4.7619047620000003</v>
      </c>
      <c r="S740">
        <v>11.1</v>
      </c>
      <c r="T740">
        <v>6.6</v>
      </c>
    </row>
    <row r="741" spans="1:20" x14ac:dyDescent="0.3">
      <c r="A741">
        <v>593</v>
      </c>
      <c r="C741">
        <v>14</v>
      </c>
      <c r="D741">
        <v>4239</v>
      </c>
      <c r="E741" t="s">
        <v>34</v>
      </c>
      <c r="F741" t="s">
        <v>35</v>
      </c>
      <c r="G741" t="s">
        <v>28</v>
      </c>
      <c r="H741" t="s">
        <v>23</v>
      </c>
      <c r="I741" t="s">
        <v>31</v>
      </c>
      <c r="J741">
        <v>95.46</v>
      </c>
      <c r="K741">
        <v>8</v>
      </c>
      <c r="L741">
        <v>38.183999999999997</v>
      </c>
      <c r="M741">
        <v>801.86400000000003</v>
      </c>
      <c r="N741" s="1">
        <v>43529</v>
      </c>
      <c r="O741" s="2">
        <v>0.81944444444444442</v>
      </c>
      <c r="P741" t="s">
        <v>25</v>
      </c>
      <c r="Q741">
        <v>763.68</v>
      </c>
      <c r="R741">
        <v>4.7619047620000003</v>
      </c>
      <c r="S741">
        <v>38.183999999999997</v>
      </c>
      <c r="T741">
        <v>4.7</v>
      </c>
    </row>
    <row r="742" spans="1:20" x14ac:dyDescent="0.3">
      <c r="A742">
        <v>801</v>
      </c>
      <c r="C742">
        <v>88</v>
      </c>
      <c r="D742">
        <v>346</v>
      </c>
      <c r="E742" t="s">
        <v>26</v>
      </c>
      <c r="F742" t="s">
        <v>27</v>
      </c>
      <c r="G742" t="s">
        <v>28</v>
      </c>
      <c r="H742" t="s">
        <v>23</v>
      </c>
      <c r="I742" t="s">
        <v>37</v>
      </c>
      <c r="J742">
        <v>76.06</v>
      </c>
      <c r="K742">
        <v>3</v>
      </c>
      <c r="L742">
        <v>11.409000000000001</v>
      </c>
      <c r="M742">
        <v>239.589</v>
      </c>
      <c r="N742" s="1">
        <v>43470</v>
      </c>
      <c r="O742" s="2">
        <v>0.85416666666666663</v>
      </c>
      <c r="P742" t="s">
        <v>32</v>
      </c>
      <c r="Q742">
        <v>228.18</v>
      </c>
      <c r="R742">
        <v>4.7619047620000003</v>
      </c>
      <c r="S742">
        <v>11.409000000000001</v>
      </c>
      <c r="T742">
        <v>9.8000000000000007</v>
      </c>
    </row>
    <row r="743" spans="1:20" x14ac:dyDescent="0.3">
      <c r="A743">
        <v>388</v>
      </c>
      <c r="C743">
        <v>76</v>
      </c>
      <c r="D743">
        <v>2555</v>
      </c>
      <c r="E743" t="s">
        <v>34</v>
      </c>
      <c r="F743" t="s">
        <v>35</v>
      </c>
      <c r="G743" t="s">
        <v>28</v>
      </c>
      <c r="H743" t="s">
        <v>38</v>
      </c>
      <c r="I743" t="s">
        <v>33</v>
      </c>
      <c r="J743">
        <v>13.69</v>
      </c>
      <c r="K743">
        <v>6</v>
      </c>
      <c r="L743">
        <v>4.1070000000000002</v>
      </c>
      <c r="M743">
        <v>86.247</v>
      </c>
      <c r="N743" s="1">
        <v>43509</v>
      </c>
      <c r="O743" s="2">
        <v>0.58263888888888893</v>
      </c>
      <c r="P743" t="s">
        <v>30</v>
      </c>
      <c r="Q743">
        <v>82.14</v>
      </c>
      <c r="R743">
        <v>4.7619047620000003</v>
      </c>
      <c r="S743">
        <v>4.1070000000000002</v>
      </c>
      <c r="T743">
        <v>6.3</v>
      </c>
    </row>
    <row r="744" spans="1:20" x14ac:dyDescent="0.3">
      <c r="A744">
        <v>711</v>
      </c>
      <c r="C744">
        <v>31</v>
      </c>
      <c r="D744">
        <v>1234</v>
      </c>
      <c r="E744" t="s">
        <v>34</v>
      </c>
      <c r="F744" t="s">
        <v>35</v>
      </c>
      <c r="G744" t="s">
        <v>28</v>
      </c>
      <c r="H744" t="s">
        <v>23</v>
      </c>
      <c r="I744" t="s">
        <v>29</v>
      </c>
      <c r="J744">
        <v>95.64</v>
      </c>
      <c r="K744">
        <v>4</v>
      </c>
      <c r="L744">
        <v>19.128</v>
      </c>
      <c r="M744">
        <v>401.68799999999999</v>
      </c>
      <c r="N744" s="1">
        <v>43540</v>
      </c>
      <c r="O744" s="2">
        <v>0.78541666666666665</v>
      </c>
      <c r="P744" t="s">
        <v>30</v>
      </c>
      <c r="Q744">
        <v>382.56</v>
      </c>
      <c r="R744">
        <v>4.7619047620000003</v>
      </c>
      <c r="S744">
        <v>19.128</v>
      </c>
      <c r="T744">
        <v>7.9</v>
      </c>
    </row>
    <row r="745" spans="1:20" x14ac:dyDescent="0.3">
      <c r="A745">
        <v>886</v>
      </c>
      <c r="C745">
        <v>54</v>
      </c>
      <c r="D745">
        <v>6089</v>
      </c>
      <c r="E745" t="s">
        <v>20</v>
      </c>
      <c r="F745" t="s">
        <v>21</v>
      </c>
      <c r="G745" t="s">
        <v>28</v>
      </c>
      <c r="H745" t="s">
        <v>23</v>
      </c>
      <c r="I745" t="s">
        <v>31</v>
      </c>
      <c r="J745">
        <v>11.43</v>
      </c>
      <c r="K745">
        <v>6</v>
      </c>
      <c r="L745">
        <v>3.4289999999999998</v>
      </c>
      <c r="M745">
        <v>72.009</v>
      </c>
      <c r="N745" s="1">
        <v>43480</v>
      </c>
      <c r="O745" s="2">
        <v>0.72499999999999998</v>
      </c>
      <c r="P745" t="s">
        <v>30</v>
      </c>
      <c r="Q745">
        <v>68.58</v>
      </c>
      <c r="R745">
        <v>4.7619047620000003</v>
      </c>
      <c r="S745">
        <v>3.4289999999999998</v>
      </c>
      <c r="T745">
        <v>7.7</v>
      </c>
    </row>
    <row r="746" spans="1:20" x14ac:dyDescent="0.3">
      <c r="A746">
        <v>707</v>
      </c>
      <c r="C746">
        <v>32</v>
      </c>
      <c r="D746">
        <v>7409</v>
      </c>
      <c r="E746" t="s">
        <v>34</v>
      </c>
      <c r="F746" t="s">
        <v>35</v>
      </c>
      <c r="G746" t="s">
        <v>22</v>
      </c>
      <c r="H746" t="s">
        <v>23</v>
      </c>
      <c r="I746" t="s">
        <v>33</v>
      </c>
      <c r="J746">
        <v>95.54</v>
      </c>
      <c r="K746">
        <v>4</v>
      </c>
      <c r="L746">
        <v>19.108000000000001</v>
      </c>
      <c r="M746">
        <v>401.26799999999997</v>
      </c>
      <c r="N746" s="1">
        <v>43522</v>
      </c>
      <c r="O746" s="2">
        <v>0.49861111111111112</v>
      </c>
      <c r="P746" t="s">
        <v>25</v>
      </c>
      <c r="Q746">
        <v>382.16</v>
      </c>
      <c r="R746">
        <v>4.7619047620000003</v>
      </c>
      <c r="S746">
        <v>19.108000000000001</v>
      </c>
      <c r="T746">
        <v>4.5</v>
      </c>
    </row>
    <row r="747" spans="1:20" x14ac:dyDescent="0.3">
      <c r="A747">
        <v>759</v>
      </c>
      <c r="C747">
        <v>98</v>
      </c>
      <c r="D747">
        <v>4285</v>
      </c>
      <c r="E747" t="s">
        <v>26</v>
      </c>
      <c r="F747" t="s">
        <v>27</v>
      </c>
      <c r="G747" t="s">
        <v>22</v>
      </c>
      <c r="H747" t="s">
        <v>23</v>
      </c>
      <c r="I747" t="s">
        <v>24</v>
      </c>
      <c r="J747">
        <v>85.87</v>
      </c>
      <c r="K747">
        <v>7</v>
      </c>
      <c r="L747">
        <v>30.054500000000001</v>
      </c>
      <c r="M747">
        <v>631.14449999999999</v>
      </c>
      <c r="N747" s="1">
        <v>43523</v>
      </c>
      <c r="O747" s="2">
        <v>0.79236111111111107</v>
      </c>
      <c r="P747" t="s">
        <v>32</v>
      </c>
      <c r="Q747">
        <v>601.09</v>
      </c>
      <c r="R747">
        <v>4.7619047620000003</v>
      </c>
      <c r="S747">
        <v>30.054500000000001</v>
      </c>
      <c r="T747">
        <v>8</v>
      </c>
    </row>
    <row r="748" spans="1:20" x14ac:dyDescent="0.3">
      <c r="A748">
        <v>201</v>
      </c>
      <c r="C748">
        <v>63</v>
      </c>
      <c r="D748">
        <v>8275</v>
      </c>
      <c r="E748" t="s">
        <v>26</v>
      </c>
      <c r="F748" t="s">
        <v>27</v>
      </c>
      <c r="G748" t="s">
        <v>22</v>
      </c>
      <c r="H748" t="s">
        <v>23</v>
      </c>
      <c r="I748" t="s">
        <v>33</v>
      </c>
      <c r="J748">
        <v>67.989999999999995</v>
      </c>
      <c r="K748">
        <v>7</v>
      </c>
      <c r="L748">
        <v>23.796500000000002</v>
      </c>
      <c r="M748">
        <v>499.72649999999999</v>
      </c>
      <c r="N748" s="1">
        <v>43513</v>
      </c>
      <c r="O748" s="2">
        <v>0.70138888888888884</v>
      </c>
      <c r="P748" t="s">
        <v>25</v>
      </c>
      <c r="Q748">
        <v>475.93</v>
      </c>
      <c r="R748">
        <v>4.7619047620000003</v>
      </c>
      <c r="S748">
        <v>23.796500000000002</v>
      </c>
      <c r="T748">
        <v>5.7</v>
      </c>
    </row>
    <row r="749" spans="1:20" x14ac:dyDescent="0.3">
      <c r="A749">
        <v>471</v>
      </c>
      <c r="C749">
        <v>6</v>
      </c>
      <c r="D749">
        <v>8611</v>
      </c>
      <c r="E749" t="s">
        <v>26</v>
      </c>
      <c r="F749" t="s">
        <v>27</v>
      </c>
      <c r="G749" t="s">
        <v>28</v>
      </c>
      <c r="H749" t="s">
        <v>23</v>
      </c>
      <c r="I749" t="s">
        <v>36</v>
      </c>
      <c r="J749">
        <v>52.42</v>
      </c>
      <c r="K749">
        <v>1</v>
      </c>
      <c r="L749">
        <v>2.621</v>
      </c>
      <c r="M749">
        <v>55.040999999999997</v>
      </c>
      <c r="N749" s="1">
        <v>43502</v>
      </c>
      <c r="O749" s="2">
        <v>0.43194444444444446</v>
      </c>
      <c r="P749" t="s">
        <v>32</v>
      </c>
      <c r="Q749">
        <v>52.42</v>
      </c>
      <c r="R749">
        <v>4.7619047620000003</v>
      </c>
      <c r="S749">
        <v>2.621</v>
      </c>
      <c r="T749">
        <v>6.3</v>
      </c>
    </row>
    <row r="750" spans="1:20" x14ac:dyDescent="0.3">
      <c r="A750">
        <v>200</v>
      </c>
      <c r="C750">
        <v>16</v>
      </c>
      <c r="D750">
        <v>5952</v>
      </c>
      <c r="E750" t="s">
        <v>26</v>
      </c>
      <c r="F750" t="s">
        <v>27</v>
      </c>
      <c r="G750" t="s">
        <v>22</v>
      </c>
      <c r="H750" t="s">
        <v>38</v>
      </c>
      <c r="I750" t="s">
        <v>36</v>
      </c>
      <c r="J750">
        <v>65.650000000000006</v>
      </c>
      <c r="K750">
        <v>2</v>
      </c>
      <c r="L750">
        <v>6.5650000000000004</v>
      </c>
      <c r="M750">
        <v>137.86500000000001</v>
      </c>
      <c r="N750" s="1">
        <v>43482</v>
      </c>
      <c r="O750" s="2">
        <v>0.69861111111111107</v>
      </c>
      <c r="P750" t="s">
        <v>30</v>
      </c>
      <c r="Q750">
        <v>131.30000000000001</v>
      </c>
      <c r="R750">
        <v>4.7619047620000003</v>
      </c>
      <c r="S750">
        <v>6.5650000000000004</v>
      </c>
      <c r="T750">
        <v>6</v>
      </c>
    </row>
    <row r="751" spans="1:20" x14ac:dyDescent="0.3">
      <c r="A751">
        <v>120</v>
      </c>
      <c r="C751">
        <v>54</v>
      </c>
      <c r="D751">
        <v>2248</v>
      </c>
      <c r="E751" t="s">
        <v>34</v>
      </c>
      <c r="F751" t="s">
        <v>35</v>
      </c>
      <c r="G751" t="s">
        <v>28</v>
      </c>
      <c r="H751" t="s">
        <v>23</v>
      </c>
      <c r="I751" t="s">
        <v>36</v>
      </c>
      <c r="J751">
        <v>28.86</v>
      </c>
      <c r="K751">
        <v>5</v>
      </c>
      <c r="L751">
        <v>7.2149999999999999</v>
      </c>
      <c r="M751">
        <v>151.51499999999999</v>
      </c>
      <c r="N751" s="1">
        <v>43487</v>
      </c>
      <c r="O751" s="2">
        <v>0.75555555555555554</v>
      </c>
      <c r="P751" t="s">
        <v>32</v>
      </c>
      <c r="Q751">
        <v>144.30000000000001</v>
      </c>
      <c r="R751">
        <v>4.7619047620000003</v>
      </c>
      <c r="S751">
        <v>7.2149999999999999</v>
      </c>
      <c r="T751">
        <v>8</v>
      </c>
    </row>
    <row r="752" spans="1:20" x14ac:dyDescent="0.3">
      <c r="A752">
        <v>102</v>
      </c>
      <c r="C752">
        <v>77</v>
      </c>
      <c r="D752">
        <v>2261</v>
      </c>
      <c r="E752" t="s">
        <v>26</v>
      </c>
      <c r="F752" t="s">
        <v>27</v>
      </c>
      <c r="G752" t="s">
        <v>22</v>
      </c>
      <c r="H752" t="s">
        <v>38</v>
      </c>
      <c r="I752" t="s">
        <v>24</v>
      </c>
      <c r="J752">
        <v>65.31</v>
      </c>
      <c r="K752">
        <v>7</v>
      </c>
      <c r="L752">
        <v>22.858499999999999</v>
      </c>
      <c r="M752">
        <v>480.02850000000001</v>
      </c>
      <c r="N752" s="1">
        <v>43529</v>
      </c>
      <c r="O752" s="2">
        <v>0.75138888888888888</v>
      </c>
      <c r="P752" t="s">
        <v>32</v>
      </c>
      <c r="Q752">
        <v>457.17</v>
      </c>
      <c r="R752">
        <v>4.7619047620000003</v>
      </c>
      <c r="S752">
        <v>22.858499999999999</v>
      </c>
      <c r="T752">
        <v>4.2</v>
      </c>
    </row>
    <row r="753" spans="1:20" x14ac:dyDescent="0.3">
      <c r="A753">
        <v>875</v>
      </c>
      <c r="C753">
        <v>31</v>
      </c>
      <c r="D753">
        <v>8302</v>
      </c>
      <c r="E753" t="s">
        <v>34</v>
      </c>
      <c r="F753" t="s">
        <v>35</v>
      </c>
      <c r="G753" t="s">
        <v>28</v>
      </c>
      <c r="H753" t="s">
        <v>38</v>
      </c>
      <c r="I753" t="s">
        <v>33</v>
      </c>
      <c r="J753">
        <v>93.38</v>
      </c>
      <c r="K753">
        <v>1</v>
      </c>
      <c r="L753">
        <v>4.6689999999999996</v>
      </c>
      <c r="M753">
        <v>98.049000000000007</v>
      </c>
      <c r="N753" s="1">
        <v>43468</v>
      </c>
      <c r="O753" s="2">
        <v>0.54652777777777772</v>
      </c>
      <c r="P753" t="s">
        <v>30</v>
      </c>
      <c r="Q753">
        <v>93.38</v>
      </c>
      <c r="R753">
        <v>4.7619047620000003</v>
      </c>
      <c r="S753">
        <v>4.6689999999999996</v>
      </c>
      <c r="T753">
        <v>9.6</v>
      </c>
    </row>
    <row r="754" spans="1:20" x14ac:dyDescent="0.3">
      <c r="A754">
        <v>102</v>
      </c>
      <c r="C754">
        <v>6</v>
      </c>
      <c r="D754">
        <v>2002</v>
      </c>
      <c r="E754" t="s">
        <v>26</v>
      </c>
      <c r="F754" t="s">
        <v>27</v>
      </c>
      <c r="G754" t="s">
        <v>22</v>
      </c>
      <c r="H754" t="s">
        <v>38</v>
      </c>
      <c r="I754" t="s">
        <v>33</v>
      </c>
      <c r="J754">
        <v>25.25</v>
      </c>
      <c r="K754">
        <v>5</v>
      </c>
      <c r="L754">
        <v>6.3125</v>
      </c>
      <c r="M754">
        <v>132.5625</v>
      </c>
      <c r="N754" s="1">
        <v>43544</v>
      </c>
      <c r="O754" s="2">
        <v>0.74444444444444446</v>
      </c>
      <c r="P754" t="s">
        <v>30</v>
      </c>
      <c r="Q754">
        <v>126.25</v>
      </c>
      <c r="R754">
        <v>4.7619047620000003</v>
      </c>
      <c r="S754">
        <v>6.3125</v>
      </c>
      <c r="T754">
        <v>6.1</v>
      </c>
    </row>
    <row r="755" spans="1:20" x14ac:dyDescent="0.3">
      <c r="A755">
        <v>457</v>
      </c>
      <c r="C755">
        <v>94</v>
      </c>
      <c r="D755">
        <v>464</v>
      </c>
      <c r="E755" t="s">
        <v>34</v>
      </c>
      <c r="F755" t="s">
        <v>35</v>
      </c>
      <c r="G755" t="s">
        <v>22</v>
      </c>
      <c r="H755" t="s">
        <v>38</v>
      </c>
      <c r="I755" t="s">
        <v>29</v>
      </c>
      <c r="J755">
        <v>87.87</v>
      </c>
      <c r="K755">
        <v>9</v>
      </c>
      <c r="L755">
        <v>39.541499999999999</v>
      </c>
      <c r="M755">
        <v>830.37149999999997</v>
      </c>
      <c r="N755" s="1">
        <v>43496</v>
      </c>
      <c r="O755" s="2">
        <v>0.85555555555555551</v>
      </c>
      <c r="P755" t="s">
        <v>25</v>
      </c>
      <c r="Q755">
        <v>790.83</v>
      </c>
      <c r="R755">
        <v>4.7619047620000003</v>
      </c>
      <c r="S755">
        <v>39.541499999999999</v>
      </c>
      <c r="T755">
        <v>5.6</v>
      </c>
    </row>
    <row r="756" spans="1:20" x14ac:dyDescent="0.3">
      <c r="A756">
        <v>629</v>
      </c>
      <c r="C756">
        <v>42</v>
      </c>
      <c r="D756">
        <v>4133</v>
      </c>
      <c r="E756" t="s">
        <v>26</v>
      </c>
      <c r="F756" t="s">
        <v>27</v>
      </c>
      <c r="G756" t="s">
        <v>28</v>
      </c>
      <c r="H756" t="s">
        <v>38</v>
      </c>
      <c r="I756" t="s">
        <v>24</v>
      </c>
      <c r="J756">
        <v>21.8</v>
      </c>
      <c r="K756">
        <v>8</v>
      </c>
      <c r="L756">
        <v>8.7200000000000006</v>
      </c>
      <c r="M756">
        <v>183.12</v>
      </c>
      <c r="N756" s="1">
        <v>43515</v>
      </c>
      <c r="O756" s="2">
        <v>0.80833333333333335</v>
      </c>
      <c r="P756" t="s">
        <v>30</v>
      </c>
      <c r="Q756">
        <v>174.4</v>
      </c>
      <c r="R756">
        <v>4.7619047620000003</v>
      </c>
      <c r="S756">
        <v>8.7200000000000006</v>
      </c>
      <c r="T756">
        <v>8.3000000000000007</v>
      </c>
    </row>
    <row r="757" spans="1:20" x14ac:dyDescent="0.3">
      <c r="A757">
        <v>534</v>
      </c>
      <c r="C757">
        <v>53</v>
      </c>
      <c r="D757">
        <v>3526</v>
      </c>
      <c r="E757" t="s">
        <v>20</v>
      </c>
      <c r="F757" t="s">
        <v>21</v>
      </c>
      <c r="G757" t="s">
        <v>28</v>
      </c>
      <c r="H757" t="s">
        <v>23</v>
      </c>
      <c r="I757" t="s">
        <v>33</v>
      </c>
      <c r="J757">
        <v>94.76</v>
      </c>
      <c r="K757">
        <v>4</v>
      </c>
      <c r="L757">
        <v>18.952000000000002</v>
      </c>
      <c r="M757">
        <v>397.99200000000002</v>
      </c>
      <c r="N757" s="1">
        <v>43507</v>
      </c>
      <c r="O757" s="2">
        <v>0.67083333333333328</v>
      </c>
      <c r="P757" t="s">
        <v>25</v>
      </c>
      <c r="Q757">
        <v>379.04</v>
      </c>
      <c r="R757">
        <v>4.7619047620000003</v>
      </c>
      <c r="S757">
        <v>18.952000000000002</v>
      </c>
      <c r="T757">
        <v>7.8</v>
      </c>
    </row>
    <row r="758" spans="1:20" x14ac:dyDescent="0.3">
      <c r="A758">
        <v>307</v>
      </c>
      <c r="C758">
        <v>4</v>
      </c>
      <c r="D758">
        <v>2070</v>
      </c>
      <c r="E758" t="s">
        <v>20</v>
      </c>
      <c r="F758" t="s">
        <v>21</v>
      </c>
      <c r="G758" t="s">
        <v>22</v>
      </c>
      <c r="H758" t="s">
        <v>23</v>
      </c>
      <c r="I758" t="s">
        <v>37</v>
      </c>
      <c r="J758">
        <v>30.62</v>
      </c>
      <c r="K758">
        <v>1</v>
      </c>
      <c r="L758">
        <v>1.5309999999999999</v>
      </c>
      <c r="M758">
        <v>32.151000000000003</v>
      </c>
      <c r="N758" s="1">
        <v>43501</v>
      </c>
      <c r="O758" s="2">
        <v>0.59305555555555556</v>
      </c>
      <c r="P758" t="s">
        <v>32</v>
      </c>
      <c r="Q758">
        <v>30.62</v>
      </c>
      <c r="R758">
        <v>4.7619047620000003</v>
      </c>
      <c r="S758">
        <v>1.5309999999999999</v>
      </c>
      <c r="T758">
        <v>4.0999999999999996</v>
      </c>
    </row>
    <row r="759" spans="1:20" x14ac:dyDescent="0.3">
      <c r="A759">
        <v>468</v>
      </c>
      <c r="C759">
        <v>99</v>
      </c>
      <c r="D759">
        <v>7231</v>
      </c>
      <c r="E759" t="s">
        <v>26</v>
      </c>
      <c r="F759" t="s">
        <v>27</v>
      </c>
      <c r="G759" t="s">
        <v>28</v>
      </c>
      <c r="H759" t="s">
        <v>23</v>
      </c>
      <c r="I759" t="s">
        <v>31</v>
      </c>
      <c r="J759">
        <v>44.01</v>
      </c>
      <c r="K759">
        <v>8</v>
      </c>
      <c r="L759">
        <v>17.603999999999999</v>
      </c>
      <c r="M759">
        <v>369.68400000000003</v>
      </c>
      <c r="N759" s="1">
        <v>43527</v>
      </c>
      <c r="O759" s="2">
        <v>0.73333333333333328</v>
      </c>
      <c r="P759" t="s">
        <v>30</v>
      </c>
      <c r="Q759">
        <v>352.08</v>
      </c>
      <c r="R759">
        <v>4.7619047620000003</v>
      </c>
      <c r="S759">
        <v>17.603999999999999</v>
      </c>
      <c r="T759">
        <v>8.8000000000000007</v>
      </c>
    </row>
    <row r="760" spans="1:20" x14ac:dyDescent="0.3">
      <c r="A760">
        <v>516</v>
      </c>
      <c r="C760">
        <v>77</v>
      </c>
      <c r="D760">
        <v>6464</v>
      </c>
      <c r="E760" t="s">
        <v>26</v>
      </c>
      <c r="F760" t="s">
        <v>27</v>
      </c>
      <c r="G760" t="s">
        <v>22</v>
      </c>
      <c r="H760" t="s">
        <v>23</v>
      </c>
      <c r="I760" t="s">
        <v>24</v>
      </c>
      <c r="J760">
        <v>10.16</v>
      </c>
      <c r="K760">
        <v>5</v>
      </c>
      <c r="L760">
        <v>2.54</v>
      </c>
      <c r="M760">
        <v>53.34</v>
      </c>
      <c r="N760" s="1">
        <v>43520</v>
      </c>
      <c r="O760" s="2">
        <v>0.54722222222222228</v>
      </c>
      <c r="P760" t="s">
        <v>25</v>
      </c>
      <c r="Q760">
        <v>50.8</v>
      </c>
      <c r="R760">
        <v>4.7619047620000003</v>
      </c>
      <c r="S760">
        <v>2.54</v>
      </c>
      <c r="T760">
        <v>4.0999999999999996</v>
      </c>
    </row>
    <row r="761" spans="1:20" x14ac:dyDescent="0.3">
      <c r="A761">
        <v>404</v>
      </c>
      <c r="C761">
        <v>91</v>
      </c>
      <c r="D761">
        <v>5964</v>
      </c>
      <c r="E761" t="s">
        <v>20</v>
      </c>
      <c r="F761" t="s">
        <v>21</v>
      </c>
      <c r="G761" t="s">
        <v>28</v>
      </c>
      <c r="H761" t="s">
        <v>38</v>
      </c>
      <c r="I761" t="s">
        <v>29</v>
      </c>
      <c r="J761">
        <v>74.58</v>
      </c>
      <c r="K761">
        <v>7</v>
      </c>
      <c r="L761">
        <v>26.103000000000002</v>
      </c>
      <c r="M761">
        <v>548.16300000000001</v>
      </c>
      <c r="N761" s="1">
        <v>43500</v>
      </c>
      <c r="O761" s="2">
        <v>0.67291666666666672</v>
      </c>
      <c r="P761" t="s">
        <v>32</v>
      </c>
      <c r="Q761">
        <v>522.05999999999995</v>
      </c>
      <c r="R761">
        <v>4.7619047620000003</v>
      </c>
      <c r="S761">
        <v>26.103000000000002</v>
      </c>
      <c r="T761">
        <v>9</v>
      </c>
    </row>
    <row r="762" spans="1:20" x14ac:dyDescent="0.3">
      <c r="A762">
        <v>886</v>
      </c>
      <c r="C762">
        <v>77</v>
      </c>
      <c r="D762">
        <v>9084</v>
      </c>
      <c r="E762" t="s">
        <v>26</v>
      </c>
      <c r="F762" t="s">
        <v>27</v>
      </c>
      <c r="G762" t="s">
        <v>28</v>
      </c>
      <c r="H762" t="s">
        <v>38</v>
      </c>
      <c r="I762" t="s">
        <v>29</v>
      </c>
      <c r="J762">
        <v>71.89</v>
      </c>
      <c r="K762">
        <v>8</v>
      </c>
      <c r="L762">
        <v>28.756</v>
      </c>
      <c r="M762">
        <v>603.87599999999998</v>
      </c>
      <c r="N762" s="1">
        <v>43515</v>
      </c>
      <c r="O762" s="2">
        <v>0.48125000000000001</v>
      </c>
      <c r="P762" t="s">
        <v>25</v>
      </c>
      <c r="Q762">
        <v>575.12</v>
      </c>
      <c r="R762">
        <v>4.7619047620000003</v>
      </c>
      <c r="S762">
        <v>28.756</v>
      </c>
      <c r="T762">
        <v>5.5</v>
      </c>
    </row>
    <row r="763" spans="1:20" x14ac:dyDescent="0.3">
      <c r="A763">
        <v>790</v>
      </c>
      <c r="C763">
        <v>38</v>
      </c>
      <c r="D763">
        <v>4466</v>
      </c>
      <c r="E763" t="s">
        <v>26</v>
      </c>
      <c r="F763" t="s">
        <v>27</v>
      </c>
      <c r="G763" t="s">
        <v>28</v>
      </c>
      <c r="H763" t="s">
        <v>23</v>
      </c>
      <c r="I763" t="s">
        <v>24</v>
      </c>
      <c r="J763">
        <v>10.99</v>
      </c>
      <c r="K763">
        <v>5</v>
      </c>
      <c r="L763">
        <v>2.7475000000000001</v>
      </c>
      <c r="M763">
        <v>57.697499999999998</v>
      </c>
      <c r="N763" s="1">
        <v>43488</v>
      </c>
      <c r="O763" s="2">
        <v>0.42916666666666664</v>
      </c>
      <c r="P763" t="s">
        <v>32</v>
      </c>
      <c r="Q763">
        <v>54.95</v>
      </c>
      <c r="R763">
        <v>4.7619047620000003</v>
      </c>
      <c r="S763">
        <v>2.7475000000000001</v>
      </c>
      <c r="T763">
        <v>9.3000000000000007</v>
      </c>
    </row>
    <row r="764" spans="1:20" x14ac:dyDescent="0.3">
      <c r="A764">
        <v>704</v>
      </c>
      <c r="C764">
        <v>10</v>
      </c>
      <c r="D764">
        <v>4056</v>
      </c>
      <c r="E764" t="s">
        <v>26</v>
      </c>
      <c r="F764" t="s">
        <v>27</v>
      </c>
      <c r="G764" t="s">
        <v>22</v>
      </c>
      <c r="H764" t="s">
        <v>38</v>
      </c>
      <c r="I764" t="s">
        <v>24</v>
      </c>
      <c r="J764">
        <v>60.47</v>
      </c>
      <c r="K764">
        <v>3</v>
      </c>
      <c r="L764">
        <v>9.0704999999999991</v>
      </c>
      <c r="M764">
        <v>190.48050000000001</v>
      </c>
      <c r="N764" s="1">
        <v>43479</v>
      </c>
      <c r="O764" s="2">
        <v>0.4548611111111111</v>
      </c>
      <c r="P764" t="s">
        <v>32</v>
      </c>
      <c r="Q764">
        <v>181.41</v>
      </c>
      <c r="R764">
        <v>4.7619047620000003</v>
      </c>
      <c r="S764">
        <v>9.0704999999999991</v>
      </c>
      <c r="T764">
        <v>5.6</v>
      </c>
    </row>
    <row r="765" spans="1:20" x14ac:dyDescent="0.3">
      <c r="A765">
        <v>497</v>
      </c>
      <c r="C765">
        <v>37</v>
      </c>
      <c r="D765">
        <v>6538</v>
      </c>
      <c r="E765" t="s">
        <v>20</v>
      </c>
      <c r="F765" t="s">
        <v>21</v>
      </c>
      <c r="G765" t="s">
        <v>28</v>
      </c>
      <c r="H765" t="s">
        <v>38</v>
      </c>
      <c r="I765" t="s">
        <v>33</v>
      </c>
      <c r="J765">
        <v>58.91</v>
      </c>
      <c r="K765">
        <v>7</v>
      </c>
      <c r="L765">
        <v>20.618500000000001</v>
      </c>
      <c r="M765">
        <v>432.98849999999999</v>
      </c>
      <c r="N765" s="1">
        <v>43482</v>
      </c>
      <c r="O765" s="2">
        <v>0.63541666666666663</v>
      </c>
      <c r="P765" t="s">
        <v>25</v>
      </c>
      <c r="Q765">
        <v>412.37</v>
      </c>
      <c r="R765">
        <v>4.7619047620000003</v>
      </c>
      <c r="S765">
        <v>20.618500000000001</v>
      </c>
      <c r="T765">
        <v>9.6999999999999993</v>
      </c>
    </row>
    <row r="766" spans="1:20" x14ac:dyDescent="0.3">
      <c r="A766">
        <v>651</v>
      </c>
      <c r="C766">
        <v>96</v>
      </c>
      <c r="D766">
        <v>5970</v>
      </c>
      <c r="E766" t="s">
        <v>20</v>
      </c>
      <c r="F766" t="s">
        <v>21</v>
      </c>
      <c r="G766" t="s">
        <v>28</v>
      </c>
      <c r="H766" t="s">
        <v>38</v>
      </c>
      <c r="I766" t="s">
        <v>37</v>
      </c>
      <c r="J766">
        <v>46.41</v>
      </c>
      <c r="K766">
        <v>1</v>
      </c>
      <c r="L766">
        <v>2.3205</v>
      </c>
      <c r="M766">
        <v>48.730499999999999</v>
      </c>
      <c r="N766" s="1">
        <v>43527</v>
      </c>
      <c r="O766" s="2">
        <v>0.83750000000000002</v>
      </c>
      <c r="P766" t="s">
        <v>32</v>
      </c>
      <c r="Q766">
        <v>46.41</v>
      </c>
      <c r="R766">
        <v>4.7619047620000003</v>
      </c>
      <c r="S766">
        <v>2.3205</v>
      </c>
      <c r="T766">
        <v>4</v>
      </c>
    </row>
    <row r="767" spans="1:20" x14ac:dyDescent="0.3">
      <c r="A767">
        <v>400</v>
      </c>
      <c r="C767">
        <v>80</v>
      </c>
      <c r="D767">
        <v>4065</v>
      </c>
      <c r="E767" t="s">
        <v>26</v>
      </c>
      <c r="F767" t="s">
        <v>27</v>
      </c>
      <c r="G767" t="s">
        <v>22</v>
      </c>
      <c r="H767" t="s">
        <v>38</v>
      </c>
      <c r="I767" t="s">
        <v>24</v>
      </c>
      <c r="J767">
        <v>68.55</v>
      </c>
      <c r="K767">
        <v>4</v>
      </c>
      <c r="L767">
        <v>13.71</v>
      </c>
      <c r="M767">
        <v>287.91000000000003</v>
      </c>
      <c r="N767" s="1">
        <v>43511</v>
      </c>
      <c r="O767" s="2">
        <v>0.84791666666666665</v>
      </c>
      <c r="P767" t="s">
        <v>32</v>
      </c>
      <c r="Q767">
        <v>274.2</v>
      </c>
      <c r="R767">
        <v>4.7619047620000003</v>
      </c>
      <c r="S767">
        <v>13.71</v>
      </c>
      <c r="T767">
        <v>9.1999999999999993</v>
      </c>
    </row>
    <row r="768" spans="1:20" x14ac:dyDescent="0.3">
      <c r="A768">
        <v>744</v>
      </c>
      <c r="C768">
        <v>16</v>
      </c>
      <c r="D768">
        <v>7898</v>
      </c>
      <c r="E768" t="s">
        <v>34</v>
      </c>
      <c r="F768" t="s">
        <v>35</v>
      </c>
      <c r="G768" t="s">
        <v>28</v>
      </c>
      <c r="H768" t="s">
        <v>23</v>
      </c>
      <c r="I768" t="s">
        <v>31</v>
      </c>
      <c r="J768">
        <v>97.37</v>
      </c>
      <c r="K768">
        <v>10</v>
      </c>
      <c r="L768">
        <v>48.685000000000002</v>
      </c>
      <c r="M768">
        <v>1022.385</v>
      </c>
      <c r="N768" s="1">
        <v>43480</v>
      </c>
      <c r="O768" s="2">
        <v>0.57499999999999996</v>
      </c>
      <c r="P768" t="s">
        <v>32</v>
      </c>
      <c r="Q768">
        <v>973.7</v>
      </c>
      <c r="R768">
        <v>4.7619047620000003</v>
      </c>
      <c r="S768">
        <v>48.685000000000002</v>
      </c>
      <c r="T768">
        <v>4.9000000000000004</v>
      </c>
    </row>
    <row r="769" spans="1:20" x14ac:dyDescent="0.3">
      <c r="A769">
        <v>263</v>
      </c>
      <c r="C769">
        <v>12</v>
      </c>
      <c r="D769">
        <v>5321</v>
      </c>
      <c r="E769" t="s">
        <v>20</v>
      </c>
      <c r="F769" t="s">
        <v>21</v>
      </c>
      <c r="G769" t="s">
        <v>22</v>
      </c>
      <c r="H769" t="s">
        <v>38</v>
      </c>
      <c r="I769" t="s">
        <v>29</v>
      </c>
      <c r="J769">
        <v>92.6</v>
      </c>
      <c r="K769">
        <v>7</v>
      </c>
      <c r="L769">
        <v>32.409999999999997</v>
      </c>
      <c r="M769">
        <v>680.61</v>
      </c>
      <c r="N769" s="1">
        <v>43523</v>
      </c>
      <c r="O769" s="2">
        <v>0.53611111111111109</v>
      </c>
      <c r="P769" t="s">
        <v>32</v>
      </c>
      <c r="Q769">
        <v>648.20000000000005</v>
      </c>
      <c r="R769">
        <v>4.7619047620000003</v>
      </c>
      <c r="S769">
        <v>32.409999999999997</v>
      </c>
      <c r="T769">
        <v>9.3000000000000007</v>
      </c>
    </row>
    <row r="770" spans="1:20" x14ac:dyDescent="0.3">
      <c r="A770">
        <v>702</v>
      </c>
      <c r="C770">
        <v>72</v>
      </c>
      <c r="D770">
        <v>487</v>
      </c>
      <c r="E770" t="s">
        <v>20</v>
      </c>
      <c r="F770" t="s">
        <v>21</v>
      </c>
      <c r="G770" t="s">
        <v>28</v>
      </c>
      <c r="H770" t="s">
        <v>23</v>
      </c>
      <c r="I770" t="s">
        <v>29</v>
      </c>
      <c r="J770">
        <v>46.61</v>
      </c>
      <c r="K770">
        <v>2</v>
      </c>
      <c r="L770">
        <v>4.6609999999999996</v>
      </c>
      <c r="M770">
        <v>97.881</v>
      </c>
      <c r="N770" s="1">
        <v>43522</v>
      </c>
      <c r="O770" s="2">
        <v>0.51944444444444449</v>
      </c>
      <c r="P770" t="s">
        <v>32</v>
      </c>
      <c r="Q770">
        <v>93.22</v>
      </c>
      <c r="R770">
        <v>4.7619047620000003</v>
      </c>
      <c r="S770">
        <v>4.6609999999999996</v>
      </c>
      <c r="T770">
        <v>6.6</v>
      </c>
    </row>
    <row r="771" spans="1:20" x14ac:dyDescent="0.3">
      <c r="A771">
        <v>605</v>
      </c>
      <c r="C771">
        <v>83</v>
      </c>
      <c r="D771">
        <v>1050</v>
      </c>
      <c r="E771" t="s">
        <v>34</v>
      </c>
      <c r="F771" t="s">
        <v>35</v>
      </c>
      <c r="G771" t="s">
        <v>28</v>
      </c>
      <c r="H771" t="s">
        <v>38</v>
      </c>
      <c r="I771" t="s">
        <v>37</v>
      </c>
      <c r="J771">
        <v>27.18</v>
      </c>
      <c r="K771">
        <v>2</v>
      </c>
      <c r="L771">
        <v>2.718</v>
      </c>
      <c r="M771">
        <v>57.078000000000003</v>
      </c>
      <c r="N771" s="1">
        <v>43539</v>
      </c>
      <c r="O771" s="2">
        <v>0.68472222222222223</v>
      </c>
      <c r="P771" t="s">
        <v>25</v>
      </c>
      <c r="Q771">
        <v>54.36</v>
      </c>
      <c r="R771">
        <v>4.7619047620000003</v>
      </c>
      <c r="S771">
        <v>2.718</v>
      </c>
      <c r="T771">
        <v>4.3</v>
      </c>
    </row>
    <row r="772" spans="1:20" x14ac:dyDescent="0.3">
      <c r="A772">
        <v>443</v>
      </c>
      <c r="C772">
        <v>60</v>
      </c>
      <c r="D772">
        <v>9639</v>
      </c>
      <c r="E772" t="s">
        <v>26</v>
      </c>
      <c r="F772" t="s">
        <v>27</v>
      </c>
      <c r="G772" t="s">
        <v>22</v>
      </c>
      <c r="H772" t="s">
        <v>23</v>
      </c>
      <c r="I772" t="s">
        <v>31</v>
      </c>
      <c r="J772">
        <v>60.87</v>
      </c>
      <c r="K772">
        <v>1</v>
      </c>
      <c r="L772">
        <v>3.0434999999999999</v>
      </c>
      <c r="M772">
        <v>63.913499999999999</v>
      </c>
      <c r="N772" s="1">
        <v>43489</v>
      </c>
      <c r="O772" s="2">
        <v>0.55833333333333335</v>
      </c>
      <c r="P772" t="s">
        <v>30</v>
      </c>
      <c r="Q772">
        <v>60.87</v>
      </c>
      <c r="R772">
        <v>4.7619047620000003</v>
      </c>
      <c r="S772">
        <v>3.0434999999999999</v>
      </c>
      <c r="T772">
        <v>5.5</v>
      </c>
    </row>
    <row r="773" spans="1:20" x14ac:dyDescent="0.3">
      <c r="A773">
        <v>864</v>
      </c>
      <c r="C773">
        <v>24</v>
      </c>
      <c r="D773">
        <v>7918</v>
      </c>
      <c r="E773" t="s">
        <v>20</v>
      </c>
      <c r="F773" t="s">
        <v>21</v>
      </c>
      <c r="G773" t="s">
        <v>22</v>
      </c>
      <c r="H773" t="s">
        <v>23</v>
      </c>
      <c r="I773" t="s">
        <v>33</v>
      </c>
      <c r="J773">
        <v>24.49</v>
      </c>
      <c r="K773">
        <v>10</v>
      </c>
      <c r="L773">
        <v>12.244999999999999</v>
      </c>
      <c r="M773">
        <v>257.14499999999998</v>
      </c>
      <c r="N773" s="1">
        <v>43518</v>
      </c>
      <c r="O773" s="2">
        <v>0.63541666666666663</v>
      </c>
      <c r="P773" t="s">
        <v>30</v>
      </c>
      <c r="Q773">
        <v>244.9</v>
      </c>
      <c r="R773">
        <v>4.7619047620000003</v>
      </c>
      <c r="S773">
        <v>12.244999999999999</v>
      </c>
      <c r="T773">
        <v>8.1</v>
      </c>
    </row>
    <row r="774" spans="1:20" x14ac:dyDescent="0.3">
      <c r="A774">
        <v>359</v>
      </c>
      <c r="C774">
        <v>94</v>
      </c>
      <c r="D774">
        <v>5395</v>
      </c>
      <c r="E774" t="s">
        <v>34</v>
      </c>
      <c r="F774" t="s">
        <v>35</v>
      </c>
      <c r="G774" t="s">
        <v>28</v>
      </c>
      <c r="H774" t="s">
        <v>38</v>
      </c>
      <c r="I774" t="s">
        <v>24</v>
      </c>
      <c r="J774">
        <v>92.78</v>
      </c>
      <c r="K774">
        <v>1</v>
      </c>
      <c r="L774">
        <v>4.6390000000000002</v>
      </c>
      <c r="M774">
        <v>97.418999999999997</v>
      </c>
      <c r="N774" s="1">
        <v>43539</v>
      </c>
      <c r="O774" s="2">
        <v>0.4513888888888889</v>
      </c>
      <c r="P774" t="s">
        <v>32</v>
      </c>
      <c r="Q774">
        <v>92.78</v>
      </c>
      <c r="R774">
        <v>4.7619047620000003</v>
      </c>
      <c r="S774">
        <v>4.6390000000000002</v>
      </c>
      <c r="T774">
        <v>9.8000000000000007</v>
      </c>
    </row>
    <row r="775" spans="1:20" x14ac:dyDescent="0.3">
      <c r="A775">
        <v>401</v>
      </c>
      <c r="C775">
        <v>9</v>
      </c>
      <c r="D775">
        <v>4232</v>
      </c>
      <c r="E775" t="s">
        <v>26</v>
      </c>
      <c r="F775" t="s">
        <v>27</v>
      </c>
      <c r="G775" t="s">
        <v>22</v>
      </c>
      <c r="H775" t="s">
        <v>38</v>
      </c>
      <c r="I775" t="s">
        <v>31</v>
      </c>
      <c r="J775">
        <v>86.69</v>
      </c>
      <c r="K775">
        <v>5</v>
      </c>
      <c r="L775">
        <v>21.672499999999999</v>
      </c>
      <c r="M775">
        <v>455.1225</v>
      </c>
      <c r="N775" s="1">
        <v>43507</v>
      </c>
      <c r="O775" s="2">
        <v>0.77638888888888891</v>
      </c>
      <c r="P775" t="s">
        <v>25</v>
      </c>
      <c r="Q775">
        <v>433.45</v>
      </c>
      <c r="R775">
        <v>4.7619047620000003</v>
      </c>
      <c r="S775">
        <v>21.672499999999999</v>
      </c>
      <c r="T775">
        <v>9.4</v>
      </c>
    </row>
    <row r="776" spans="1:20" x14ac:dyDescent="0.3">
      <c r="A776">
        <v>751</v>
      </c>
      <c r="C776">
        <v>15</v>
      </c>
      <c r="D776">
        <v>6198</v>
      </c>
      <c r="E776" t="s">
        <v>34</v>
      </c>
      <c r="F776" t="s">
        <v>35</v>
      </c>
      <c r="G776" t="s">
        <v>28</v>
      </c>
      <c r="H776" t="s">
        <v>38</v>
      </c>
      <c r="I776" t="s">
        <v>33</v>
      </c>
      <c r="J776">
        <v>23.01</v>
      </c>
      <c r="K776">
        <v>6</v>
      </c>
      <c r="L776">
        <v>6.9029999999999996</v>
      </c>
      <c r="M776">
        <v>144.96299999999999</v>
      </c>
      <c r="N776" s="1">
        <v>43477</v>
      </c>
      <c r="O776" s="2">
        <v>0.69791666666666663</v>
      </c>
      <c r="P776" t="s">
        <v>25</v>
      </c>
      <c r="Q776">
        <v>138.06</v>
      </c>
      <c r="R776">
        <v>4.7619047620000003</v>
      </c>
      <c r="S776">
        <v>6.9029999999999996</v>
      </c>
      <c r="T776">
        <v>7.9</v>
      </c>
    </row>
    <row r="777" spans="1:20" x14ac:dyDescent="0.3">
      <c r="A777">
        <v>324</v>
      </c>
      <c r="C777">
        <v>41</v>
      </c>
      <c r="D777">
        <v>6833</v>
      </c>
      <c r="E777" t="s">
        <v>26</v>
      </c>
      <c r="F777" t="s">
        <v>27</v>
      </c>
      <c r="G777" t="s">
        <v>22</v>
      </c>
      <c r="H777" t="s">
        <v>23</v>
      </c>
      <c r="I777" t="s">
        <v>29</v>
      </c>
      <c r="J777">
        <v>30.2</v>
      </c>
      <c r="K777">
        <v>8</v>
      </c>
      <c r="L777">
        <v>12.08</v>
      </c>
      <c r="M777">
        <v>253.68</v>
      </c>
      <c r="N777" s="1">
        <v>43527</v>
      </c>
      <c r="O777" s="2">
        <v>0.8125</v>
      </c>
      <c r="P777" t="s">
        <v>25</v>
      </c>
      <c r="Q777">
        <v>241.6</v>
      </c>
      <c r="R777">
        <v>4.7619047620000003</v>
      </c>
      <c r="S777">
        <v>12.08</v>
      </c>
      <c r="T777">
        <v>5.0999999999999996</v>
      </c>
    </row>
    <row r="778" spans="1:20" x14ac:dyDescent="0.3">
      <c r="A778">
        <v>474</v>
      </c>
      <c r="C778">
        <v>33</v>
      </c>
      <c r="D778">
        <v>8305</v>
      </c>
      <c r="E778" t="s">
        <v>26</v>
      </c>
      <c r="F778" t="s">
        <v>27</v>
      </c>
      <c r="G778" t="s">
        <v>22</v>
      </c>
      <c r="H778" t="s">
        <v>38</v>
      </c>
      <c r="I778" t="s">
        <v>37</v>
      </c>
      <c r="J778">
        <v>67.39</v>
      </c>
      <c r="K778">
        <v>7</v>
      </c>
      <c r="L778">
        <v>23.586500000000001</v>
      </c>
      <c r="M778">
        <v>495.31650000000002</v>
      </c>
      <c r="N778" s="1">
        <v>43547</v>
      </c>
      <c r="O778" s="2">
        <v>0.55763888888888891</v>
      </c>
      <c r="P778" t="s">
        <v>25</v>
      </c>
      <c r="Q778">
        <v>471.73</v>
      </c>
      <c r="R778">
        <v>4.7619047620000003</v>
      </c>
      <c r="S778">
        <v>23.586500000000001</v>
      </c>
      <c r="T778">
        <v>6.9</v>
      </c>
    </row>
    <row r="779" spans="1:20" x14ac:dyDescent="0.3">
      <c r="A779">
        <v>759</v>
      </c>
      <c r="C779">
        <v>29</v>
      </c>
      <c r="D779">
        <v>9521</v>
      </c>
      <c r="E779" t="s">
        <v>20</v>
      </c>
      <c r="F779" t="s">
        <v>21</v>
      </c>
      <c r="G779" t="s">
        <v>22</v>
      </c>
      <c r="H779" t="s">
        <v>23</v>
      </c>
      <c r="I779" t="s">
        <v>37</v>
      </c>
      <c r="J779">
        <v>48.96</v>
      </c>
      <c r="K779">
        <v>9</v>
      </c>
      <c r="L779">
        <v>22.032</v>
      </c>
      <c r="M779">
        <v>462.67200000000003</v>
      </c>
      <c r="N779" s="1">
        <v>43528</v>
      </c>
      <c r="O779" s="2">
        <v>0.47708333333333336</v>
      </c>
      <c r="P779" t="s">
        <v>30</v>
      </c>
      <c r="Q779">
        <v>440.64</v>
      </c>
      <c r="R779">
        <v>4.7619047620000003</v>
      </c>
      <c r="S779">
        <v>22.032</v>
      </c>
      <c r="T779">
        <v>8</v>
      </c>
    </row>
    <row r="780" spans="1:20" x14ac:dyDescent="0.3">
      <c r="A780">
        <v>831</v>
      </c>
      <c r="C780">
        <v>81</v>
      </c>
      <c r="D780">
        <v>6575</v>
      </c>
      <c r="E780" t="s">
        <v>34</v>
      </c>
      <c r="F780" t="s">
        <v>35</v>
      </c>
      <c r="G780" t="s">
        <v>22</v>
      </c>
      <c r="H780" t="s">
        <v>23</v>
      </c>
      <c r="I780" t="s">
        <v>29</v>
      </c>
      <c r="J780">
        <v>75.59</v>
      </c>
      <c r="K780">
        <v>9</v>
      </c>
      <c r="L780">
        <v>34.015500000000003</v>
      </c>
      <c r="M780">
        <v>714.32550000000003</v>
      </c>
      <c r="N780" s="1">
        <v>43519</v>
      </c>
      <c r="O780" s="2">
        <v>0.46666666666666667</v>
      </c>
      <c r="P780" t="s">
        <v>30</v>
      </c>
      <c r="Q780">
        <v>680.31</v>
      </c>
      <c r="R780">
        <v>4.7619047620000003</v>
      </c>
      <c r="S780">
        <v>34.015500000000003</v>
      </c>
      <c r="T780">
        <v>8</v>
      </c>
    </row>
    <row r="781" spans="1:20" x14ac:dyDescent="0.3">
      <c r="A781">
        <v>220</v>
      </c>
      <c r="C781">
        <v>68</v>
      </c>
      <c r="D781">
        <v>6701</v>
      </c>
      <c r="E781" t="s">
        <v>20</v>
      </c>
      <c r="F781" t="s">
        <v>21</v>
      </c>
      <c r="G781" t="s">
        <v>28</v>
      </c>
      <c r="H781" t="s">
        <v>23</v>
      </c>
      <c r="I781" t="s">
        <v>31</v>
      </c>
      <c r="J781">
        <v>77.47</v>
      </c>
      <c r="K781">
        <v>4</v>
      </c>
      <c r="L781">
        <v>15.494</v>
      </c>
      <c r="M781">
        <v>325.37400000000002</v>
      </c>
      <c r="N781" s="1">
        <v>43541</v>
      </c>
      <c r="O781" s="2">
        <v>0.69166666666666665</v>
      </c>
      <c r="P781" t="s">
        <v>30</v>
      </c>
      <c r="Q781">
        <v>309.88</v>
      </c>
      <c r="R781">
        <v>4.7619047620000003</v>
      </c>
      <c r="S781">
        <v>15.494</v>
      </c>
      <c r="T781">
        <v>4.2</v>
      </c>
    </row>
    <row r="782" spans="1:20" x14ac:dyDescent="0.3">
      <c r="A782">
        <v>618</v>
      </c>
      <c r="C782">
        <v>34</v>
      </c>
      <c r="D782">
        <v>8551</v>
      </c>
      <c r="E782" t="s">
        <v>20</v>
      </c>
      <c r="F782" t="s">
        <v>21</v>
      </c>
      <c r="G782" t="s">
        <v>28</v>
      </c>
      <c r="H782" t="s">
        <v>23</v>
      </c>
      <c r="I782" t="s">
        <v>33</v>
      </c>
      <c r="J782">
        <v>93.18</v>
      </c>
      <c r="K782">
        <v>2</v>
      </c>
      <c r="L782">
        <v>9.3179999999999996</v>
      </c>
      <c r="M782">
        <v>195.678</v>
      </c>
      <c r="N782" s="1">
        <v>43481</v>
      </c>
      <c r="O782" s="2">
        <v>0.77847222222222223</v>
      </c>
      <c r="P782" t="s">
        <v>32</v>
      </c>
      <c r="Q782">
        <v>186.36</v>
      </c>
      <c r="R782">
        <v>4.7619047620000003</v>
      </c>
      <c r="S782">
        <v>9.3179999999999996</v>
      </c>
      <c r="T782">
        <v>8.5</v>
      </c>
    </row>
    <row r="783" spans="1:20" x14ac:dyDescent="0.3">
      <c r="A783">
        <v>257</v>
      </c>
      <c r="C783">
        <v>60</v>
      </c>
      <c r="D783">
        <v>7754</v>
      </c>
      <c r="E783" t="s">
        <v>20</v>
      </c>
      <c r="F783" t="s">
        <v>21</v>
      </c>
      <c r="G783" t="s">
        <v>28</v>
      </c>
      <c r="H783" t="s">
        <v>23</v>
      </c>
      <c r="I783" t="s">
        <v>29</v>
      </c>
      <c r="J783">
        <v>50.23</v>
      </c>
      <c r="K783">
        <v>4</v>
      </c>
      <c r="L783">
        <v>10.045999999999999</v>
      </c>
      <c r="M783">
        <v>210.96600000000001</v>
      </c>
      <c r="N783" s="1">
        <v>43473</v>
      </c>
      <c r="O783" s="2">
        <v>0.71666666666666667</v>
      </c>
      <c r="P783" t="s">
        <v>30</v>
      </c>
      <c r="Q783">
        <v>200.92</v>
      </c>
      <c r="R783">
        <v>4.7619047620000003</v>
      </c>
      <c r="S783">
        <v>10.045999999999999</v>
      </c>
      <c r="T783">
        <v>9</v>
      </c>
    </row>
    <row r="784" spans="1:20" x14ac:dyDescent="0.3">
      <c r="A784">
        <v>559</v>
      </c>
      <c r="C784">
        <v>61</v>
      </c>
      <c r="D784">
        <v>5987</v>
      </c>
      <c r="E784" t="s">
        <v>34</v>
      </c>
      <c r="F784" t="s">
        <v>35</v>
      </c>
      <c r="G784" t="s">
        <v>28</v>
      </c>
      <c r="H784" t="s">
        <v>23</v>
      </c>
      <c r="I784" t="s">
        <v>24</v>
      </c>
      <c r="J784">
        <v>17.75</v>
      </c>
      <c r="K784">
        <v>1</v>
      </c>
      <c r="L784">
        <v>0.88749999999999996</v>
      </c>
      <c r="M784">
        <v>18.637499999999999</v>
      </c>
      <c r="N784" s="1">
        <v>43479</v>
      </c>
      <c r="O784" s="2">
        <v>0.44305555555555554</v>
      </c>
      <c r="P784" t="s">
        <v>30</v>
      </c>
      <c r="Q784">
        <v>17.75</v>
      </c>
      <c r="R784">
        <v>4.7619047620000003</v>
      </c>
      <c r="S784">
        <v>0.88749999999999996</v>
      </c>
      <c r="T784">
        <v>8.6</v>
      </c>
    </row>
    <row r="785" spans="1:20" x14ac:dyDescent="0.3">
      <c r="A785">
        <v>189</v>
      </c>
      <c r="C785">
        <v>55</v>
      </c>
      <c r="D785">
        <v>2313</v>
      </c>
      <c r="E785" t="s">
        <v>26</v>
      </c>
      <c r="F785" t="s">
        <v>27</v>
      </c>
      <c r="G785" t="s">
        <v>28</v>
      </c>
      <c r="H785" t="s">
        <v>23</v>
      </c>
      <c r="I785" t="s">
        <v>37</v>
      </c>
      <c r="J785">
        <v>62.18</v>
      </c>
      <c r="K785">
        <v>10</v>
      </c>
      <c r="L785">
        <v>31.09</v>
      </c>
      <c r="M785">
        <v>652.89</v>
      </c>
      <c r="N785" s="1">
        <v>43496</v>
      </c>
      <c r="O785" s="2">
        <v>0.43958333333333333</v>
      </c>
      <c r="P785" t="s">
        <v>25</v>
      </c>
      <c r="Q785">
        <v>621.79999999999995</v>
      </c>
      <c r="R785">
        <v>4.7619047620000003</v>
      </c>
      <c r="S785">
        <v>31.09</v>
      </c>
      <c r="T785">
        <v>6</v>
      </c>
    </row>
    <row r="786" spans="1:20" x14ac:dyDescent="0.3">
      <c r="A786">
        <v>565</v>
      </c>
      <c r="C786">
        <v>91</v>
      </c>
      <c r="D786">
        <v>4567</v>
      </c>
      <c r="E786" t="s">
        <v>34</v>
      </c>
      <c r="F786" t="s">
        <v>35</v>
      </c>
      <c r="G786" t="s">
        <v>28</v>
      </c>
      <c r="H786" t="s">
        <v>38</v>
      </c>
      <c r="I786" t="s">
        <v>24</v>
      </c>
      <c r="J786">
        <v>10.75</v>
      </c>
      <c r="K786">
        <v>8</v>
      </c>
      <c r="L786">
        <v>4.3</v>
      </c>
      <c r="M786">
        <v>90.3</v>
      </c>
      <c r="N786" s="1">
        <v>43539</v>
      </c>
      <c r="O786" s="2">
        <v>0.60972222222222228</v>
      </c>
      <c r="P786" t="s">
        <v>25</v>
      </c>
      <c r="Q786">
        <v>86</v>
      </c>
      <c r="R786">
        <v>4.7619047620000003</v>
      </c>
      <c r="S786">
        <v>4.3</v>
      </c>
      <c r="T786">
        <v>6.2</v>
      </c>
    </row>
    <row r="787" spans="1:20" x14ac:dyDescent="0.3">
      <c r="A787">
        <v>380</v>
      </c>
      <c r="C787">
        <v>60</v>
      </c>
      <c r="D787">
        <v>5336</v>
      </c>
      <c r="E787" t="s">
        <v>20</v>
      </c>
      <c r="F787" t="s">
        <v>21</v>
      </c>
      <c r="G787" t="s">
        <v>28</v>
      </c>
      <c r="H787" t="s">
        <v>23</v>
      </c>
      <c r="I787" t="s">
        <v>29</v>
      </c>
      <c r="J787">
        <v>40.26</v>
      </c>
      <c r="K787">
        <v>10</v>
      </c>
      <c r="L787">
        <v>20.13</v>
      </c>
      <c r="M787">
        <v>422.73</v>
      </c>
      <c r="N787" s="1">
        <v>43520</v>
      </c>
      <c r="O787" s="2">
        <v>0.75416666666666665</v>
      </c>
      <c r="P787" t="s">
        <v>32</v>
      </c>
      <c r="Q787">
        <v>402.6</v>
      </c>
      <c r="R787">
        <v>4.7619047620000003</v>
      </c>
      <c r="S787">
        <v>20.13</v>
      </c>
      <c r="T787">
        <v>5</v>
      </c>
    </row>
    <row r="788" spans="1:20" x14ac:dyDescent="0.3">
      <c r="A788">
        <v>815</v>
      </c>
      <c r="C788">
        <v>4</v>
      </c>
      <c r="D788">
        <v>6282</v>
      </c>
      <c r="E788" t="s">
        <v>26</v>
      </c>
      <c r="F788" t="s">
        <v>27</v>
      </c>
      <c r="G788" t="s">
        <v>22</v>
      </c>
      <c r="H788" t="s">
        <v>23</v>
      </c>
      <c r="I788" t="s">
        <v>33</v>
      </c>
      <c r="J788">
        <v>64.97</v>
      </c>
      <c r="K788">
        <v>5</v>
      </c>
      <c r="L788">
        <v>16.2425</v>
      </c>
      <c r="M788">
        <v>341.09249999999997</v>
      </c>
      <c r="N788" s="1">
        <v>43504</v>
      </c>
      <c r="O788" s="2">
        <v>0.53611111111111109</v>
      </c>
      <c r="P788" t="s">
        <v>32</v>
      </c>
      <c r="Q788">
        <v>324.85000000000002</v>
      </c>
      <c r="R788">
        <v>4.7619047620000003</v>
      </c>
      <c r="S788">
        <v>16.2425</v>
      </c>
      <c r="T788">
        <v>6.5</v>
      </c>
    </row>
    <row r="789" spans="1:20" x14ac:dyDescent="0.3">
      <c r="A789">
        <v>674</v>
      </c>
      <c r="C789">
        <v>56</v>
      </c>
      <c r="D789">
        <v>6360</v>
      </c>
      <c r="E789" t="s">
        <v>20</v>
      </c>
      <c r="F789" t="s">
        <v>21</v>
      </c>
      <c r="G789" t="s">
        <v>28</v>
      </c>
      <c r="H789" t="s">
        <v>38</v>
      </c>
      <c r="I789" t="s">
        <v>29</v>
      </c>
      <c r="J789">
        <v>95.15</v>
      </c>
      <c r="K789">
        <v>1</v>
      </c>
      <c r="L789">
        <v>4.7575000000000003</v>
      </c>
      <c r="M789">
        <v>99.907499999999999</v>
      </c>
      <c r="N789" s="1">
        <v>43546</v>
      </c>
      <c r="O789" s="2">
        <v>0.58333333333333337</v>
      </c>
      <c r="P789" t="s">
        <v>30</v>
      </c>
      <c r="Q789">
        <v>95.15</v>
      </c>
      <c r="R789">
        <v>4.7619047620000003</v>
      </c>
      <c r="S789">
        <v>4.7575000000000003</v>
      </c>
      <c r="T789">
        <v>6</v>
      </c>
    </row>
    <row r="790" spans="1:20" x14ac:dyDescent="0.3">
      <c r="A790">
        <v>778</v>
      </c>
      <c r="C790">
        <v>34</v>
      </c>
      <c r="D790">
        <v>2523</v>
      </c>
      <c r="E790" t="s">
        <v>20</v>
      </c>
      <c r="F790" t="s">
        <v>21</v>
      </c>
      <c r="G790" t="s">
        <v>22</v>
      </c>
      <c r="H790" t="s">
        <v>23</v>
      </c>
      <c r="I790" t="s">
        <v>29</v>
      </c>
      <c r="J790">
        <v>48.62</v>
      </c>
      <c r="K790">
        <v>8</v>
      </c>
      <c r="L790">
        <v>19.448</v>
      </c>
      <c r="M790">
        <v>408.40800000000002</v>
      </c>
      <c r="N790" s="1">
        <v>43489</v>
      </c>
      <c r="O790" s="2">
        <v>0.45624999999999999</v>
      </c>
      <c r="P790" t="s">
        <v>30</v>
      </c>
      <c r="Q790">
        <v>388.96</v>
      </c>
      <c r="R790">
        <v>4.7619047620000003</v>
      </c>
      <c r="S790">
        <v>19.448</v>
      </c>
      <c r="T790">
        <v>5</v>
      </c>
    </row>
    <row r="791" spans="1:20" x14ac:dyDescent="0.3">
      <c r="A791">
        <v>499</v>
      </c>
      <c r="C791">
        <v>27</v>
      </c>
      <c r="D791">
        <v>7781</v>
      </c>
      <c r="E791" t="s">
        <v>34</v>
      </c>
      <c r="F791" t="s">
        <v>35</v>
      </c>
      <c r="G791" t="s">
        <v>28</v>
      </c>
      <c r="H791" t="s">
        <v>23</v>
      </c>
      <c r="I791" t="s">
        <v>36</v>
      </c>
      <c r="J791">
        <v>53.21</v>
      </c>
      <c r="K791">
        <v>8</v>
      </c>
      <c r="L791">
        <v>21.283999999999999</v>
      </c>
      <c r="M791">
        <v>446.964</v>
      </c>
      <c r="N791" s="1">
        <v>43538</v>
      </c>
      <c r="O791" s="2">
        <v>0.69791666666666663</v>
      </c>
      <c r="P791" t="s">
        <v>25</v>
      </c>
      <c r="Q791">
        <v>425.68</v>
      </c>
      <c r="R791">
        <v>4.7619047620000003</v>
      </c>
      <c r="S791">
        <v>21.283999999999999</v>
      </c>
      <c r="T791">
        <v>5</v>
      </c>
    </row>
    <row r="792" spans="1:20" x14ac:dyDescent="0.3">
      <c r="A792">
        <v>477</v>
      </c>
      <c r="C792">
        <v>59</v>
      </c>
      <c r="D792">
        <v>2456</v>
      </c>
      <c r="E792" t="s">
        <v>26</v>
      </c>
      <c r="F792" t="s">
        <v>27</v>
      </c>
      <c r="G792" t="s">
        <v>28</v>
      </c>
      <c r="H792" t="s">
        <v>23</v>
      </c>
      <c r="I792" t="s">
        <v>37</v>
      </c>
      <c r="J792">
        <v>45.44</v>
      </c>
      <c r="K792">
        <v>7</v>
      </c>
      <c r="L792">
        <v>15.904</v>
      </c>
      <c r="M792">
        <v>333.98399999999998</v>
      </c>
      <c r="N792" s="1">
        <v>43488</v>
      </c>
      <c r="O792" s="2">
        <v>0.46875</v>
      </c>
      <c r="P792" t="s">
        <v>30</v>
      </c>
      <c r="Q792">
        <v>318.08</v>
      </c>
      <c r="R792">
        <v>4.7619047620000003</v>
      </c>
      <c r="S792">
        <v>15.904</v>
      </c>
      <c r="T792">
        <v>9.1999999999999993</v>
      </c>
    </row>
    <row r="793" spans="1:20" x14ac:dyDescent="0.3">
      <c r="A793">
        <v>832</v>
      </c>
      <c r="C793">
        <v>51</v>
      </c>
      <c r="D793">
        <v>6761</v>
      </c>
      <c r="E793" t="s">
        <v>20</v>
      </c>
      <c r="F793" t="s">
        <v>21</v>
      </c>
      <c r="G793" t="s">
        <v>28</v>
      </c>
      <c r="H793" t="s">
        <v>38</v>
      </c>
      <c r="I793" t="s">
        <v>36</v>
      </c>
      <c r="J793">
        <v>33.880000000000003</v>
      </c>
      <c r="K793">
        <v>8</v>
      </c>
      <c r="L793">
        <v>13.552</v>
      </c>
      <c r="M793">
        <v>284.59199999999998</v>
      </c>
      <c r="N793" s="1">
        <v>43484</v>
      </c>
      <c r="O793" s="2">
        <v>0.85347222222222219</v>
      </c>
      <c r="P793" t="s">
        <v>25</v>
      </c>
      <c r="Q793">
        <v>271.04000000000002</v>
      </c>
      <c r="R793">
        <v>4.7619047620000003</v>
      </c>
      <c r="S793">
        <v>13.552</v>
      </c>
      <c r="T793">
        <v>9.6</v>
      </c>
    </row>
    <row r="794" spans="1:20" x14ac:dyDescent="0.3">
      <c r="A794">
        <v>869</v>
      </c>
      <c r="C794">
        <v>11</v>
      </c>
      <c r="D794">
        <v>3082</v>
      </c>
      <c r="E794" t="s">
        <v>34</v>
      </c>
      <c r="F794" t="s">
        <v>35</v>
      </c>
      <c r="G794" t="s">
        <v>22</v>
      </c>
      <c r="H794" t="s">
        <v>38</v>
      </c>
      <c r="I794" t="s">
        <v>24</v>
      </c>
      <c r="J794">
        <v>96.16</v>
      </c>
      <c r="K794">
        <v>4</v>
      </c>
      <c r="L794">
        <v>19.231999999999999</v>
      </c>
      <c r="M794">
        <v>403.87200000000001</v>
      </c>
      <c r="N794" s="1">
        <v>43492</v>
      </c>
      <c r="O794" s="2">
        <v>0.8354166666666667</v>
      </c>
      <c r="P794" t="s">
        <v>32</v>
      </c>
      <c r="Q794">
        <v>384.64</v>
      </c>
      <c r="R794">
        <v>4.7619047620000003</v>
      </c>
      <c r="S794">
        <v>19.231999999999999</v>
      </c>
      <c r="T794">
        <v>8.4</v>
      </c>
    </row>
    <row r="795" spans="1:20" x14ac:dyDescent="0.3">
      <c r="A795">
        <v>190</v>
      </c>
      <c r="C795">
        <v>59</v>
      </c>
      <c r="D795">
        <v>3964</v>
      </c>
      <c r="E795" t="s">
        <v>34</v>
      </c>
      <c r="F795" t="s">
        <v>35</v>
      </c>
      <c r="G795" t="s">
        <v>22</v>
      </c>
      <c r="H795" t="s">
        <v>38</v>
      </c>
      <c r="I795" t="s">
        <v>36</v>
      </c>
      <c r="J795">
        <v>47.16</v>
      </c>
      <c r="K795">
        <v>5</v>
      </c>
      <c r="L795">
        <v>11.79</v>
      </c>
      <c r="M795">
        <v>247.59</v>
      </c>
      <c r="N795" s="1">
        <v>43499</v>
      </c>
      <c r="O795" s="2">
        <v>0.60763888888888884</v>
      </c>
      <c r="P795" t="s">
        <v>32</v>
      </c>
      <c r="Q795">
        <v>235.8</v>
      </c>
      <c r="R795">
        <v>4.7619047620000003</v>
      </c>
      <c r="S795">
        <v>11.79</v>
      </c>
      <c r="T795">
        <v>6</v>
      </c>
    </row>
    <row r="796" spans="1:20" x14ac:dyDescent="0.3">
      <c r="A796">
        <v>366</v>
      </c>
      <c r="C796">
        <v>43</v>
      </c>
      <c r="D796">
        <v>6862</v>
      </c>
      <c r="E796" t="s">
        <v>34</v>
      </c>
      <c r="F796" t="s">
        <v>35</v>
      </c>
      <c r="G796" t="s">
        <v>28</v>
      </c>
      <c r="H796" t="s">
        <v>38</v>
      </c>
      <c r="I796" t="s">
        <v>29</v>
      </c>
      <c r="J796">
        <v>52.89</v>
      </c>
      <c r="K796">
        <v>4</v>
      </c>
      <c r="L796">
        <v>10.577999999999999</v>
      </c>
      <c r="M796">
        <v>222.13800000000001</v>
      </c>
      <c r="N796" s="1">
        <v>43549</v>
      </c>
      <c r="O796" s="2">
        <v>0.68888888888888888</v>
      </c>
      <c r="P796" t="s">
        <v>25</v>
      </c>
      <c r="Q796">
        <v>211.56</v>
      </c>
      <c r="R796">
        <v>4.7619047620000003</v>
      </c>
      <c r="S796">
        <v>10.577999999999999</v>
      </c>
      <c r="T796">
        <v>6.7</v>
      </c>
    </row>
    <row r="797" spans="1:20" x14ac:dyDescent="0.3">
      <c r="A797">
        <v>186</v>
      </c>
      <c r="C797">
        <v>43</v>
      </c>
      <c r="D797">
        <v>8965</v>
      </c>
      <c r="E797" t="s">
        <v>20</v>
      </c>
      <c r="F797" t="s">
        <v>21</v>
      </c>
      <c r="G797" t="s">
        <v>22</v>
      </c>
      <c r="H797" t="s">
        <v>23</v>
      </c>
      <c r="I797" t="s">
        <v>31</v>
      </c>
      <c r="J797">
        <v>47.68</v>
      </c>
      <c r="K797">
        <v>2</v>
      </c>
      <c r="L797">
        <v>4.7679999999999998</v>
      </c>
      <c r="M797">
        <v>100.128</v>
      </c>
      <c r="N797" s="1">
        <v>43520</v>
      </c>
      <c r="O797" s="2">
        <v>0.4236111111111111</v>
      </c>
      <c r="P797" t="s">
        <v>32</v>
      </c>
      <c r="Q797">
        <v>95.36</v>
      </c>
      <c r="R797">
        <v>4.7619047620000003</v>
      </c>
      <c r="S797">
        <v>4.7679999999999998</v>
      </c>
      <c r="T797">
        <v>4.0999999999999996</v>
      </c>
    </row>
    <row r="798" spans="1:20" x14ac:dyDescent="0.3">
      <c r="A798">
        <v>784</v>
      </c>
      <c r="C798">
        <v>21</v>
      </c>
      <c r="D798">
        <v>9238</v>
      </c>
      <c r="E798" t="s">
        <v>26</v>
      </c>
      <c r="F798" t="s">
        <v>27</v>
      </c>
      <c r="G798" t="s">
        <v>22</v>
      </c>
      <c r="H798" t="s">
        <v>38</v>
      </c>
      <c r="I798" t="s">
        <v>33</v>
      </c>
      <c r="J798">
        <v>10.17</v>
      </c>
      <c r="K798">
        <v>1</v>
      </c>
      <c r="L798">
        <v>0.50849999999999995</v>
      </c>
      <c r="M798">
        <v>10.6785</v>
      </c>
      <c r="N798" s="1">
        <v>43503</v>
      </c>
      <c r="O798" s="2">
        <v>0.59375</v>
      </c>
      <c r="P798" t="s">
        <v>30</v>
      </c>
      <c r="Q798">
        <v>10.17</v>
      </c>
      <c r="R798">
        <v>4.7619047620000003</v>
      </c>
      <c r="S798">
        <v>0.50849999999999995</v>
      </c>
      <c r="T798">
        <v>5.9</v>
      </c>
    </row>
    <row r="799" spans="1:20" x14ac:dyDescent="0.3">
      <c r="A799">
        <v>276</v>
      </c>
      <c r="C799">
        <v>75</v>
      </c>
      <c r="D799">
        <v>6884</v>
      </c>
      <c r="E799" t="s">
        <v>20</v>
      </c>
      <c r="F799" t="s">
        <v>21</v>
      </c>
      <c r="G799" t="s">
        <v>28</v>
      </c>
      <c r="H799" t="s">
        <v>23</v>
      </c>
      <c r="I799" t="s">
        <v>24</v>
      </c>
      <c r="J799">
        <v>68.709999999999994</v>
      </c>
      <c r="K799">
        <v>3</v>
      </c>
      <c r="L799">
        <v>10.3065</v>
      </c>
      <c r="M799">
        <v>216.4365</v>
      </c>
      <c r="N799" s="1">
        <v>43528</v>
      </c>
      <c r="O799" s="2">
        <v>0.4201388888888889</v>
      </c>
      <c r="P799" t="s">
        <v>30</v>
      </c>
      <c r="Q799">
        <v>206.13</v>
      </c>
      <c r="R799">
        <v>4.7619047620000003</v>
      </c>
      <c r="S799">
        <v>10.3065</v>
      </c>
      <c r="T799">
        <v>8.6999999999999993</v>
      </c>
    </row>
    <row r="800" spans="1:20" x14ac:dyDescent="0.3">
      <c r="A800">
        <v>109</v>
      </c>
      <c r="C800">
        <v>86</v>
      </c>
      <c r="D800">
        <v>4363</v>
      </c>
      <c r="E800" t="s">
        <v>34</v>
      </c>
      <c r="F800" t="s">
        <v>35</v>
      </c>
      <c r="G800" t="s">
        <v>22</v>
      </c>
      <c r="H800" t="s">
        <v>23</v>
      </c>
      <c r="I800" t="s">
        <v>33</v>
      </c>
      <c r="J800">
        <v>60.08</v>
      </c>
      <c r="K800">
        <v>7</v>
      </c>
      <c r="L800">
        <v>21.027999999999999</v>
      </c>
      <c r="M800">
        <v>441.58800000000002</v>
      </c>
      <c r="N800" s="1">
        <v>43510</v>
      </c>
      <c r="O800" s="2">
        <v>0.48333333333333334</v>
      </c>
      <c r="P800" t="s">
        <v>32</v>
      </c>
      <c r="Q800">
        <v>420.56</v>
      </c>
      <c r="R800">
        <v>4.7619047620000003</v>
      </c>
      <c r="S800">
        <v>21.027999999999999</v>
      </c>
      <c r="T800">
        <v>4.5</v>
      </c>
    </row>
    <row r="801" spans="1:20" x14ac:dyDescent="0.3">
      <c r="A801">
        <v>569</v>
      </c>
      <c r="C801">
        <v>76</v>
      </c>
      <c r="D801">
        <v>2760</v>
      </c>
      <c r="E801" t="s">
        <v>20</v>
      </c>
      <c r="F801" t="s">
        <v>21</v>
      </c>
      <c r="G801" t="s">
        <v>22</v>
      </c>
      <c r="H801" t="s">
        <v>23</v>
      </c>
      <c r="I801" t="s">
        <v>33</v>
      </c>
      <c r="J801">
        <v>22.01</v>
      </c>
      <c r="K801">
        <v>4</v>
      </c>
      <c r="L801">
        <v>4.4020000000000001</v>
      </c>
      <c r="M801">
        <v>92.441999999999993</v>
      </c>
      <c r="N801" s="1">
        <v>43494</v>
      </c>
      <c r="O801" s="2">
        <v>0.76041666666666663</v>
      </c>
      <c r="P801" t="s">
        <v>32</v>
      </c>
      <c r="Q801">
        <v>88.04</v>
      </c>
      <c r="R801">
        <v>4.7619047620000003</v>
      </c>
      <c r="S801">
        <v>4.4020000000000001</v>
      </c>
      <c r="T801">
        <v>6.6</v>
      </c>
    </row>
    <row r="802" spans="1:20" x14ac:dyDescent="0.3">
      <c r="A802">
        <v>222</v>
      </c>
      <c r="C802">
        <v>42</v>
      </c>
      <c r="D802">
        <v>244</v>
      </c>
      <c r="E802" t="s">
        <v>34</v>
      </c>
      <c r="F802" t="s">
        <v>35</v>
      </c>
      <c r="G802" t="s">
        <v>22</v>
      </c>
      <c r="H802" t="s">
        <v>23</v>
      </c>
      <c r="I802" t="s">
        <v>24</v>
      </c>
      <c r="J802">
        <v>72.11</v>
      </c>
      <c r="K802">
        <v>9</v>
      </c>
      <c r="L802">
        <v>32.4495</v>
      </c>
      <c r="M802">
        <v>681.43949999999995</v>
      </c>
      <c r="N802" s="1">
        <v>43493</v>
      </c>
      <c r="O802" s="2">
        <v>0.57847222222222228</v>
      </c>
      <c r="P802" t="s">
        <v>32</v>
      </c>
      <c r="Q802">
        <v>648.99</v>
      </c>
      <c r="R802">
        <v>4.7619047620000003</v>
      </c>
      <c r="S802">
        <v>32.4495</v>
      </c>
      <c r="T802">
        <v>7.7</v>
      </c>
    </row>
    <row r="803" spans="1:20" x14ac:dyDescent="0.3">
      <c r="A803">
        <v>760</v>
      </c>
      <c r="C803">
        <v>53</v>
      </c>
      <c r="D803">
        <v>9233</v>
      </c>
      <c r="E803" t="s">
        <v>20</v>
      </c>
      <c r="F803" t="s">
        <v>21</v>
      </c>
      <c r="G803" t="s">
        <v>22</v>
      </c>
      <c r="H803" t="s">
        <v>38</v>
      </c>
      <c r="I803" t="s">
        <v>37</v>
      </c>
      <c r="J803">
        <v>41.28</v>
      </c>
      <c r="K803">
        <v>3</v>
      </c>
      <c r="L803">
        <v>6.1920000000000002</v>
      </c>
      <c r="M803">
        <v>130.03200000000001</v>
      </c>
      <c r="N803" s="1">
        <v>43550</v>
      </c>
      <c r="O803" s="2">
        <v>0.77569444444444446</v>
      </c>
      <c r="P803" t="s">
        <v>32</v>
      </c>
      <c r="Q803">
        <v>123.84</v>
      </c>
      <c r="R803">
        <v>4.7619047620000003</v>
      </c>
      <c r="S803">
        <v>6.1920000000000002</v>
      </c>
      <c r="T803">
        <v>8.5</v>
      </c>
    </row>
    <row r="804" spans="1:20" x14ac:dyDescent="0.3">
      <c r="A804">
        <v>538</v>
      </c>
      <c r="C804">
        <v>22</v>
      </c>
      <c r="D804">
        <v>304</v>
      </c>
      <c r="E804" t="s">
        <v>26</v>
      </c>
      <c r="F804" t="s">
        <v>27</v>
      </c>
      <c r="G804" t="s">
        <v>28</v>
      </c>
      <c r="H804" t="s">
        <v>38</v>
      </c>
      <c r="I804" t="s">
        <v>29</v>
      </c>
      <c r="J804">
        <v>64.95</v>
      </c>
      <c r="K804">
        <v>10</v>
      </c>
      <c r="L804">
        <v>32.475000000000001</v>
      </c>
      <c r="M804">
        <v>681.97500000000002</v>
      </c>
      <c r="N804" s="1">
        <v>43548</v>
      </c>
      <c r="O804" s="2">
        <v>0.76875000000000004</v>
      </c>
      <c r="P804" t="s">
        <v>30</v>
      </c>
      <c r="Q804">
        <v>649.5</v>
      </c>
      <c r="R804">
        <v>4.7619047620000003</v>
      </c>
      <c r="S804">
        <v>32.475000000000001</v>
      </c>
      <c r="T804">
        <v>5.2</v>
      </c>
    </row>
    <row r="805" spans="1:20" x14ac:dyDescent="0.3">
      <c r="A805">
        <v>416</v>
      </c>
      <c r="C805">
        <v>17</v>
      </c>
      <c r="D805">
        <v>9926</v>
      </c>
      <c r="E805" t="s">
        <v>20</v>
      </c>
      <c r="F805" t="s">
        <v>21</v>
      </c>
      <c r="G805" t="s">
        <v>22</v>
      </c>
      <c r="H805" t="s">
        <v>23</v>
      </c>
      <c r="I805" t="s">
        <v>29</v>
      </c>
      <c r="J805">
        <v>74.22</v>
      </c>
      <c r="K805">
        <v>10</v>
      </c>
      <c r="L805">
        <v>37.11</v>
      </c>
      <c r="M805">
        <v>779.31</v>
      </c>
      <c r="N805" s="1">
        <v>43466</v>
      </c>
      <c r="O805" s="2">
        <v>0.61250000000000004</v>
      </c>
      <c r="P805" t="s">
        <v>32</v>
      </c>
      <c r="Q805">
        <v>742.2</v>
      </c>
      <c r="R805">
        <v>4.7619047620000003</v>
      </c>
      <c r="S805">
        <v>37.11</v>
      </c>
      <c r="T805">
        <v>4.3</v>
      </c>
    </row>
    <row r="806" spans="1:20" x14ac:dyDescent="0.3">
      <c r="A806">
        <v>237</v>
      </c>
      <c r="C806">
        <v>44</v>
      </c>
      <c r="D806">
        <v>6163</v>
      </c>
      <c r="E806" t="s">
        <v>20</v>
      </c>
      <c r="F806" t="s">
        <v>21</v>
      </c>
      <c r="G806" t="s">
        <v>28</v>
      </c>
      <c r="H806" t="s">
        <v>38</v>
      </c>
      <c r="I806" t="s">
        <v>29</v>
      </c>
      <c r="J806">
        <v>10.56</v>
      </c>
      <c r="K806">
        <v>8</v>
      </c>
      <c r="L806">
        <v>4.2240000000000002</v>
      </c>
      <c r="M806">
        <v>88.703999999999994</v>
      </c>
      <c r="N806" s="1">
        <v>43489</v>
      </c>
      <c r="O806" s="2">
        <v>0.73819444444444449</v>
      </c>
      <c r="P806" t="s">
        <v>30</v>
      </c>
      <c r="Q806">
        <v>84.48</v>
      </c>
      <c r="R806">
        <v>4.7619047620000003</v>
      </c>
      <c r="S806">
        <v>4.2240000000000002</v>
      </c>
      <c r="T806">
        <v>7.6</v>
      </c>
    </row>
    <row r="807" spans="1:20" x14ac:dyDescent="0.3">
      <c r="A807">
        <v>636</v>
      </c>
      <c r="C807">
        <v>17</v>
      </c>
      <c r="D807">
        <v>325</v>
      </c>
      <c r="E807" t="s">
        <v>34</v>
      </c>
      <c r="F807" t="s">
        <v>35</v>
      </c>
      <c r="G807" t="s">
        <v>28</v>
      </c>
      <c r="H807" t="s">
        <v>38</v>
      </c>
      <c r="I807" t="s">
        <v>24</v>
      </c>
      <c r="J807">
        <v>62.57</v>
      </c>
      <c r="K807">
        <v>4</v>
      </c>
      <c r="L807">
        <v>12.513999999999999</v>
      </c>
      <c r="M807">
        <v>262.79399999999998</v>
      </c>
      <c r="N807" s="1">
        <v>43521</v>
      </c>
      <c r="O807" s="2">
        <v>0.77569444444444446</v>
      </c>
      <c r="P807" t="s">
        <v>30</v>
      </c>
      <c r="Q807">
        <v>250.28</v>
      </c>
      <c r="R807">
        <v>4.7619047620000003</v>
      </c>
      <c r="S807">
        <v>12.513999999999999</v>
      </c>
      <c r="T807">
        <v>9.5</v>
      </c>
    </row>
    <row r="808" spans="1:20" x14ac:dyDescent="0.3">
      <c r="A808">
        <v>343</v>
      </c>
      <c r="C808">
        <v>75</v>
      </c>
      <c r="D808">
        <v>9322</v>
      </c>
      <c r="E808" t="s">
        <v>34</v>
      </c>
      <c r="F808" t="s">
        <v>35</v>
      </c>
      <c r="G808" t="s">
        <v>22</v>
      </c>
      <c r="H808" t="s">
        <v>23</v>
      </c>
      <c r="I808" t="s">
        <v>33</v>
      </c>
      <c r="J808">
        <v>11.85</v>
      </c>
      <c r="K808">
        <v>8</v>
      </c>
      <c r="L808">
        <v>4.74</v>
      </c>
      <c r="M808">
        <v>99.54</v>
      </c>
      <c r="N808" s="1">
        <v>43474</v>
      </c>
      <c r="O808" s="2">
        <v>0.69027777777777777</v>
      </c>
      <c r="P808" t="s">
        <v>30</v>
      </c>
      <c r="Q808">
        <v>94.8</v>
      </c>
      <c r="R808">
        <v>4.7619047620000003</v>
      </c>
      <c r="S808">
        <v>4.74</v>
      </c>
      <c r="T808">
        <v>4.0999999999999996</v>
      </c>
    </row>
    <row r="809" spans="1:20" x14ac:dyDescent="0.3">
      <c r="A809">
        <v>528</v>
      </c>
      <c r="C809">
        <v>14</v>
      </c>
      <c r="D809">
        <v>9470</v>
      </c>
      <c r="E809" t="s">
        <v>20</v>
      </c>
      <c r="F809" t="s">
        <v>21</v>
      </c>
      <c r="G809" t="s">
        <v>22</v>
      </c>
      <c r="H809" t="s">
        <v>38</v>
      </c>
      <c r="I809" t="s">
        <v>24</v>
      </c>
      <c r="J809">
        <v>91.3</v>
      </c>
      <c r="K809">
        <v>1</v>
      </c>
      <c r="L809">
        <v>4.5650000000000004</v>
      </c>
      <c r="M809">
        <v>95.864999999999995</v>
      </c>
      <c r="N809" s="1">
        <v>43510</v>
      </c>
      <c r="O809" s="2">
        <v>0.61250000000000004</v>
      </c>
      <c r="P809" t="s">
        <v>25</v>
      </c>
      <c r="Q809">
        <v>91.3</v>
      </c>
      <c r="R809">
        <v>4.7619047620000003</v>
      </c>
      <c r="S809">
        <v>4.5650000000000004</v>
      </c>
      <c r="T809">
        <v>9.1999999999999993</v>
      </c>
    </row>
    <row r="810" spans="1:20" x14ac:dyDescent="0.3">
      <c r="A810">
        <v>427</v>
      </c>
      <c r="C810">
        <v>45</v>
      </c>
      <c r="D810">
        <v>9297</v>
      </c>
      <c r="E810" t="s">
        <v>34</v>
      </c>
      <c r="F810" t="s">
        <v>35</v>
      </c>
      <c r="G810" t="s">
        <v>22</v>
      </c>
      <c r="H810" t="s">
        <v>23</v>
      </c>
      <c r="I810" t="s">
        <v>31</v>
      </c>
      <c r="J810">
        <v>40.729999999999997</v>
      </c>
      <c r="K810">
        <v>7</v>
      </c>
      <c r="L810">
        <v>14.2555</v>
      </c>
      <c r="M810">
        <v>299.3655</v>
      </c>
      <c r="N810" s="1">
        <v>43536</v>
      </c>
      <c r="O810" s="2">
        <v>0.45902777777777776</v>
      </c>
      <c r="P810" t="s">
        <v>25</v>
      </c>
      <c r="Q810">
        <v>285.11</v>
      </c>
      <c r="R810">
        <v>4.7619047620000003</v>
      </c>
      <c r="S810">
        <v>14.2555</v>
      </c>
      <c r="T810">
        <v>5.4</v>
      </c>
    </row>
    <row r="811" spans="1:20" x14ac:dyDescent="0.3">
      <c r="A811">
        <v>807</v>
      </c>
      <c r="C811">
        <v>34</v>
      </c>
      <c r="D811">
        <v>3742</v>
      </c>
      <c r="E811" t="s">
        <v>20</v>
      </c>
      <c r="F811" t="s">
        <v>21</v>
      </c>
      <c r="G811" t="s">
        <v>28</v>
      </c>
      <c r="H811" t="s">
        <v>38</v>
      </c>
      <c r="I811" t="s">
        <v>37</v>
      </c>
      <c r="J811">
        <v>52.38</v>
      </c>
      <c r="K811">
        <v>1</v>
      </c>
      <c r="L811">
        <v>2.6190000000000002</v>
      </c>
      <c r="M811">
        <v>54.999000000000002</v>
      </c>
      <c r="N811" s="1">
        <v>43550</v>
      </c>
      <c r="O811" s="2">
        <v>0.82222222222222219</v>
      </c>
      <c r="P811" t="s">
        <v>30</v>
      </c>
      <c r="Q811">
        <v>52.38</v>
      </c>
      <c r="R811">
        <v>4.7619047620000003</v>
      </c>
      <c r="S811">
        <v>2.6190000000000002</v>
      </c>
      <c r="T811">
        <v>5.8</v>
      </c>
    </row>
    <row r="812" spans="1:20" x14ac:dyDescent="0.3">
      <c r="A812">
        <v>288</v>
      </c>
      <c r="C812">
        <v>62</v>
      </c>
      <c r="D812">
        <v>1085</v>
      </c>
      <c r="E812" t="s">
        <v>20</v>
      </c>
      <c r="F812" t="s">
        <v>21</v>
      </c>
      <c r="G812" t="s">
        <v>22</v>
      </c>
      <c r="H812" t="s">
        <v>38</v>
      </c>
      <c r="I812" t="s">
        <v>37</v>
      </c>
      <c r="J812">
        <v>38.54</v>
      </c>
      <c r="K812">
        <v>5</v>
      </c>
      <c r="L812">
        <v>9.6349999999999998</v>
      </c>
      <c r="M812">
        <v>202.33500000000001</v>
      </c>
      <c r="N812" s="1">
        <v>43474</v>
      </c>
      <c r="O812" s="2">
        <v>0.56527777777777777</v>
      </c>
      <c r="P812" t="s">
        <v>25</v>
      </c>
      <c r="Q812">
        <v>192.7</v>
      </c>
      <c r="R812">
        <v>4.7619047620000003</v>
      </c>
      <c r="S812">
        <v>9.6349999999999998</v>
      </c>
      <c r="T812">
        <v>5.6</v>
      </c>
    </row>
    <row r="813" spans="1:20" x14ac:dyDescent="0.3">
      <c r="A813">
        <v>670</v>
      </c>
      <c r="C813">
        <v>71</v>
      </c>
      <c r="D813">
        <v>7306</v>
      </c>
      <c r="E813" t="s">
        <v>34</v>
      </c>
      <c r="F813" t="s">
        <v>35</v>
      </c>
      <c r="G813" t="s">
        <v>28</v>
      </c>
      <c r="H813" t="s">
        <v>38</v>
      </c>
      <c r="I813" t="s">
        <v>33</v>
      </c>
      <c r="J813">
        <v>44.63</v>
      </c>
      <c r="K813">
        <v>6</v>
      </c>
      <c r="L813">
        <v>13.388999999999999</v>
      </c>
      <c r="M813">
        <v>281.16899999999998</v>
      </c>
      <c r="N813" s="1">
        <v>43467</v>
      </c>
      <c r="O813" s="2">
        <v>0.83888888888888891</v>
      </c>
      <c r="P813" t="s">
        <v>32</v>
      </c>
      <c r="Q813">
        <v>267.77999999999997</v>
      </c>
      <c r="R813">
        <v>4.7619047620000003</v>
      </c>
      <c r="S813">
        <v>13.388999999999999</v>
      </c>
      <c r="T813">
        <v>5.0999999999999996</v>
      </c>
    </row>
    <row r="814" spans="1:20" x14ac:dyDescent="0.3">
      <c r="A814">
        <v>660</v>
      </c>
      <c r="C814">
        <v>29</v>
      </c>
      <c r="D814">
        <v>7083</v>
      </c>
      <c r="E814" t="s">
        <v>26</v>
      </c>
      <c r="F814" t="s">
        <v>27</v>
      </c>
      <c r="G814" t="s">
        <v>28</v>
      </c>
      <c r="H814" t="s">
        <v>38</v>
      </c>
      <c r="I814" t="s">
        <v>29</v>
      </c>
      <c r="J814">
        <v>55.87</v>
      </c>
      <c r="K814">
        <v>10</v>
      </c>
      <c r="L814">
        <v>27.934999999999999</v>
      </c>
      <c r="M814">
        <v>586.63499999999999</v>
      </c>
      <c r="N814" s="1">
        <v>43480</v>
      </c>
      <c r="O814" s="2">
        <v>0.62569444444444444</v>
      </c>
      <c r="P814" t="s">
        <v>30</v>
      </c>
      <c r="Q814">
        <v>558.70000000000005</v>
      </c>
      <c r="R814">
        <v>4.7619047620000003</v>
      </c>
      <c r="S814">
        <v>27.934999999999999</v>
      </c>
      <c r="T814">
        <v>5.8</v>
      </c>
    </row>
    <row r="815" spans="1:20" x14ac:dyDescent="0.3">
      <c r="A815">
        <v>271</v>
      </c>
      <c r="C815">
        <v>77</v>
      </c>
      <c r="D815">
        <v>8740</v>
      </c>
      <c r="E815" t="s">
        <v>26</v>
      </c>
      <c r="F815" t="s">
        <v>27</v>
      </c>
      <c r="G815" t="s">
        <v>22</v>
      </c>
      <c r="H815" t="s">
        <v>23</v>
      </c>
      <c r="I815" t="s">
        <v>33</v>
      </c>
      <c r="J815">
        <v>29.22</v>
      </c>
      <c r="K815">
        <v>6</v>
      </c>
      <c r="L815">
        <v>8.766</v>
      </c>
      <c r="M815">
        <v>184.08600000000001</v>
      </c>
      <c r="N815" s="1">
        <v>43466</v>
      </c>
      <c r="O815" s="2">
        <v>0.4861111111111111</v>
      </c>
      <c r="P815" t="s">
        <v>25</v>
      </c>
      <c r="Q815">
        <v>175.32</v>
      </c>
      <c r="R815">
        <v>4.7619047620000003</v>
      </c>
      <c r="S815">
        <v>8.766</v>
      </c>
      <c r="T815">
        <v>5</v>
      </c>
    </row>
    <row r="816" spans="1:20" x14ac:dyDescent="0.3">
      <c r="A816">
        <v>497</v>
      </c>
      <c r="C816">
        <v>36</v>
      </c>
      <c r="D816">
        <v>989</v>
      </c>
      <c r="E816" t="s">
        <v>20</v>
      </c>
      <c r="F816" t="s">
        <v>21</v>
      </c>
      <c r="G816" t="s">
        <v>28</v>
      </c>
      <c r="H816" t="s">
        <v>38</v>
      </c>
      <c r="I816" t="s">
        <v>37</v>
      </c>
      <c r="J816">
        <v>51.94</v>
      </c>
      <c r="K816">
        <v>3</v>
      </c>
      <c r="L816">
        <v>7.7910000000000004</v>
      </c>
      <c r="M816">
        <v>163.61099999999999</v>
      </c>
      <c r="N816" s="1">
        <v>43511</v>
      </c>
      <c r="O816" s="2">
        <v>0.63958333333333328</v>
      </c>
      <c r="P816" t="s">
        <v>30</v>
      </c>
      <c r="Q816">
        <v>155.82</v>
      </c>
      <c r="R816">
        <v>4.7619047620000003</v>
      </c>
      <c r="S816">
        <v>7.7910000000000004</v>
      </c>
      <c r="T816">
        <v>7.9</v>
      </c>
    </row>
    <row r="817" spans="1:20" x14ac:dyDescent="0.3">
      <c r="A817">
        <v>291</v>
      </c>
      <c r="C817">
        <v>59</v>
      </c>
      <c r="D817">
        <v>1384</v>
      </c>
      <c r="E817" t="s">
        <v>34</v>
      </c>
      <c r="F817" t="s">
        <v>35</v>
      </c>
      <c r="G817" t="s">
        <v>28</v>
      </c>
      <c r="H817" t="s">
        <v>38</v>
      </c>
      <c r="I817" t="s">
        <v>29</v>
      </c>
      <c r="J817">
        <v>60.3</v>
      </c>
      <c r="K817">
        <v>1</v>
      </c>
      <c r="L817">
        <v>3.0150000000000001</v>
      </c>
      <c r="M817">
        <v>63.314999999999998</v>
      </c>
      <c r="N817" s="1">
        <v>43524</v>
      </c>
      <c r="O817" s="2">
        <v>0.73472222222222228</v>
      </c>
      <c r="P817" t="s">
        <v>30</v>
      </c>
      <c r="Q817">
        <v>60.3</v>
      </c>
      <c r="R817">
        <v>4.7619047620000003</v>
      </c>
      <c r="S817">
        <v>3.0150000000000001</v>
      </c>
      <c r="T817">
        <v>6</v>
      </c>
    </row>
    <row r="818" spans="1:20" x14ac:dyDescent="0.3">
      <c r="A818">
        <v>860</v>
      </c>
      <c r="C818">
        <v>73</v>
      </c>
      <c r="D818">
        <v>6466</v>
      </c>
      <c r="E818" t="s">
        <v>20</v>
      </c>
      <c r="F818" t="s">
        <v>21</v>
      </c>
      <c r="G818" t="s">
        <v>22</v>
      </c>
      <c r="H818" t="s">
        <v>23</v>
      </c>
      <c r="I818" t="s">
        <v>33</v>
      </c>
      <c r="J818">
        <v>39.47</v>
      </c>
      <c r="K818">
        <v>2</v>
      </c>
      <c r="L818">
        <v>3.9470000000000001</v>
      </c>
      <c r="M818">
        <v>82.887</v>
      </c>
      <c r="N818" s="1">
        <v>43526</v>
      </c>
      <c r="O818" s="2">
        <v>0.67777777777777781</v>
      </c>
      <c r="P818" t="s">
        <v>32</v>
      </c>
      <c r="Q818">
        <v>78.94</v>
      </c>
      <c r="R818">
        <v>4.7619047620000003</v>
      </c>
      <c r="S818">
        <v>3.9470000000000001</v>
      </c>
      <c r="T818">
        <v>5</v>
      </c>
    </row>
    <row r="819" spans="1:20" x14ac:dyDescent="0.3">
      <c r="A819">
        <v>549</v>
      </c>
      <c r="C819">
        <v>23</v>
      </c>
      <c r="D819">
        <v>9016</v>
      </c>
      <c r="E819" t="s">
        <v>26</v>
      </c>
      <c r="F819" t="s">
        <v>27</v>
      </c>
      <c r="G819" t="s">
        <v>22</v>
      </c>
      <c r="H819" t="s">
        <v>23</v>
      </c>
      <c r="I819" t="s">
        <v>36</v>
      </c>
      <c r="J819">
        <v>14.87</v>
      </c>
      <c r="K819">
        <v>2</v>
      </c>
      <c r="L819">
        <v>1.4870000000000001</v>
      </c>
      <c r="M819">
        <v>31.227</v>
      </c>
      <c r="N819" s="1">
        <v>43509</v>
      </c>
      <c r="O819" s="2">
        <v>0.76041666666666663</v>
      </c>
      <c r="P819" t="s">
        <v>32</v>
      </c>
      <c r="Q819">
        <v>29.74</v>
      </c>
      <c r="R819">
        <v>4.7619047620000003</v>
      </c>
      <c r="S819">
        <v>1.4870000000000001</v>
      </c>
      <c r="T819">
        <v>8.9</v>
      </c>
    </row>
    <row r="820" spans="1:20" x14ac:dyDescent="0.3">
      <c r="A820">
        <v>896</v>
      </c>
      <c r="C820">
        <v>34</v>
      </c>
      <c r="D820">
        <v>956</v>
      </c>
      <c r="E820" t="s">
        <v>20</v>
      </c>
      <c r="F820" t="s">
        <v>21</v>
      </c>
      <c r="G820" t="s">
        <v>28</v>
      </c>
      <c r="H820" t="s">
        <v>38</v>
      </c>
      <c r="I820" t="s">
        <v>37</v>
      </c>
      <c r="J820">
        <v>21.32</v>
      </c>
      <c r="K820">
        <v>1</v>
      </c>
      <c r="L820">
        <v>1.0660000000000001</v>
      </c>
      <c r="M820">
        <v>22.385999999999999</v>
      </c>
      <c r="N820" s="1">
        <v>43491</v>
      </c>
      <c r="O820" s="2">
        <v>0.52986111111111112</v>
      </c>
      <c r="P820" t="s">
        <v>30</v>
      </c>
      <c r="Q820">
        <v>21.32</v>
      </c>
      <c r="R820">
        <v>4.7619047620000003</v>
      </c>
      <c r="S820">
        <v>1.0660000000000001</v>
      </c>
      <c r="T820">
        <v>5.9</v>
      </c>
    </row>
    <row r="821" spans="1:20" x14ac:dyDescent="0.3">
      <c r="A821">
        <v>804</v>
      </c>
      <c r="C821">
        <v>38</v>
      </c>
      <c r="D821">
        <v>3935</v>
      </c>
      <c r="E821" t="s">
        <v>20</v>
      </c>
      <c r="F821" t="s">
        <v>21</v>
      </c>
      <c r="G821" t="s">
        <v>22</v>
      </c>
      <c r="H821" t="s">
        <v>38</v>
      </c>
      <c r="I821" t="s">
        <v>29</v>
      </c>
      <c r="J821">
        <v>93.78</v>
      </c>
      <c r="K821">
        <v>3</v>
      </c>
      <c r="L821">
        <v>14.067</v>
      </c>
      <c r="M821">
        <v>295.40699999999998</v>
      </c>
      <c r="N821" s="1">
        <v>43495</v>
      </c>
      <c r="O821" s="2">
        <v>0.48055555555555557</v>
      </c>
      <c r="P821" t="s">
        <v>32</v>
      </c>
      <c r="Q821">
        <v>281.33999999999997</v>
      </c>
      <c r="R821">
        <v>4.7619047620000003</v>
      </c>
      <c r="S821">
        <v>14.067</v>
      </c>
      <c r="T821">
        <v>5.9</v>
      </c>
    </row>
    <row r="822" spans="1:20" x14ac:dyDescent="0.3">
      <c r="A822">
        <v>585</v>
      </c>
      <c r="C822">
        <v>90</v>
      </c>
      <c r="D822">
        <v>249</v>
      </c>
      <c r="E822" t="s">
        <v>20</v>
      </c>
      <c r="F822" t="s">
        <v>21</v>
      </c>
      <c r="G822" t="s">
        <v>22</v>
      </c>
      <c r="H822" t="s">
        <v>38</v>
      </c>
      <c r="I822" t="s">
        <v>29</v>
      </c>
      <c r="J822">
        <v>73.260000000000005</v>
      </c>
      <c r="K822">
        <v>1</v>
      </c>
      <c r="L822">
        <v>3.6629999999999998</v>
      </c>
      <c r="M822">
        <v>76.923000000000002</v>
      </c>
      <c r="N822" s="1">
        <v>43492</v>
      </c>
      <c r="O822" s="2">
        <v>0.75555555555555554</v>
      </c>
      <c r="P822" t="s">
        <v>25</v>
      </c>
      <c r="Q822">
        <v>73.260000000000005</v>
      </c>
      <c r="R822">
        <v>4.7619047620000003</v>
      </c>
      <c r="S822">
        <v>3.6629999999999998</v>
      </c>
      <c r="T822">
        <v>9.6999999999999993</v>
      </c>
    </row>
    <row r="823" spans="1:20" x14ac:dyDescent="0.3">
      <c r="A823">
        <v>862</v>
      </c>
      <c r="C823">
        <v>29</v>
      </c>
      <c r="D823">
        <v>5914</v>
      </c>
      <c r="E823" t="s">
        <v>26</v>
      </c>
      <c r="F823" t="s">
        <v>27</v>
      </c>
      <c r="G823" t="s">
        <v>28</v>
      </c>
      <c r="H823" t="s">
        <v>23</v>
      </c>
      <c r="I823" t="s">
        <v>33</v>
      </c>
      <c r="J823">
        <v>22.38</v>
      </c>
      <c r="K823">
        <v>1</v>
      </c>
      <c r="L823">
        <v>1.119</v>
      </c>
      <c r="M823">
        <v>23.498999999999999</v>
      </c>
      <c r="N823" s="1">
        <v>43495</v>
      </c>
      <c r="O823" s="2">
        <v>0.71388888888888891</v>
      </c>
      <c r="P823" t="s">
        <v>32</v>
      </c>
      <c r="Q823">
        <v>22.38</v>
      </c>
      <c r="R823">
        <v>4.7619047620000003</v>
      </c>
      <c r="S823">
        <v>1.119</v>
      </c>
      <c r="T823">
        <v>8.6</v>
      </c>
    </row>
    <row r="824" spans="1:20" x14ac:dyDescent="0.3">
      <c r="A824">
        <v>845</v>
      </c>
      <c r="C824">
        <v>94</v>
      </c>
      <c r="D824">
        <v>6841</v>
      </c>
      <c r="E824" t="s">
        <v>26</v>
      </c>
      <c r="F824" t="s">
        <v>27</v>
      </c>
      <c r="G824" t="s">
        <v>22</v>
      </c>
      <c r="H824" t="s">
        <v>23</v>
      </c>
      <c r="I824" t="s">
        <v>36</v>
      </c>
      <c r="J824">
        <v>72.88</v>
      </c>
      <c r="K824">
        <v>9</v>
      </c>
      <c r="L824">
        <v>32.795999999999999</v>
      </c>
      <c r="M824">
        <v>688.71600000000001</v>
      </c>
      <c r="N824" s="1">
        <v>43473</v>
      </c>
      <c r="O824" s="2">
        <v>0.81805555555555554</v>
      </c>
      <c r="P824" t="s">
        <v>30</v>
      </c>
      <c r="Q824">
        <v>655.92</v>
      </c>
      <c r="R824">
        <v>4.7619047620000003</v>
      </c>
      <c r="S824">
        <v>32.795999999999999</v>
      </c>
      <c r="T824">
        <v>4</v>
      </c>
    </row>
    <row r="825" spans="1:20" x14ac:dyDescent="0.3">
      <c r="A825">
        <v>125</v>
      </c>
      <c r="C825">
        <v>45</v>
      </c>
      <c r="D825">
        <v>2293</v>
      </c>
      <c r="E825" t="s">
        <v>20</v>
      </c>
      <c r="F825" t="s">
        <v>21</v>
      </c>
      <c r="G825" t="s">
        <v>28</v>
      </c>
      <c r="H825" t="s">
        <v>23</v>
      </c>
      <c r="I825" t="s">
        <v>37</v>
      </c>
      <c r="J825">
        <v>99.1</v>
      </c>
      <c r="K825">
        <v>6</v>
      </c>
      <c r="L825">
        <v>29.73</v>
      </c>
      <c r="M825">
        <v>624.33000000000004</v>
      </c>
      <c r="N825" s="1">
        <v>43484</v>
      </c>
      <c r="O825" s="2">
        <v>0.5493055555555556</v>
      </c>
      <c r="P825" t="s">
        <v>30</v>
      </c>
      <c r="Q825">
        <v>594.6</v>
      </c>
      <c r="R825">
        <v>4.7619047620000003</v>
      </c>
      <c r="S825">
        <v>29.73</v>
      </c>
      <c r="T825">
        <v>4.2</v>
      </c>
    </row>
    <row r="826" spans="1:20" x14ac:dyDescent="0.3">
      <c r="A826">
        <v>843</v>
      </c>
      <c r="C826">
        <v>73</v>
      </c>
      <c r="D826">
        <v>4724</v>
      </c>
      <c r="E826" t="s">
        <v>20</v>
      </c>
      <c r="F826" t="s">
        <v>21</v>
      </c>
      <c r="G826" t="s">
        <v>28</v>
      </c>
      <c r="H826" t="s">
        <v>38</v>
      </c>
      <c r="I826" t="s">
        <v>37</v>
      </c>
      <c r="J826">
        <v>74.099999999999994</v>
      </c>
      <c r="K826">
        <v>1</v>
      </c>
      <c r="L826">
        <v>3.7050000000000001</v>
      </c>
      <c r="M826">
        <v>77.805000000000007</v>
      </c>
      <c r="N826" s="1">
        <v>43490</v>
      </c>
      <c r="O826" s="2">
        <v>0.46180555555555558</v>
      </c>
      <c r="P826" t="s">
        <v>30</v>
      </c>
      <c r="Q826">
        <v>74.099999999999994</v>
      </c>
      <c r="R826">
        <v>4.7619047620000003</v>
      </c>
      <c r="S826">
        <v>3.7050000000000001</v>
      </c>
      <c r="T826">
        <v>9.1999999999999993</v>
      </c>
    </row>
    <row r="827" spans="1:20" x14ac:dyDescent="0.3">
      <c r="A827">
        <v>409</v>
      </c>
      <c r="C827">
        <v>33</v>
      </c>
      <c r="D827">
        <v>9708</v>
      </c>
      <c r="E827" t="s">
        <v>20</v>
      </c>
      <c r="F827" t="s">
        <v>21</v>
      </c>
      <c r="G827" t="s">
        <v>28</v>
      </c>
      <c r="H827" t="s">
        <v>23</v>
      </c>
      <c r="I827" t="s">
        <v>37</v>
      </c>
      <c r="J827">
        <v>98.48</v>
      </c>
      <c r="K827">
        <v>2</v>
      </c>
      <c r="L827">
        <v>9.8480000000000008</v>
      </c>
      <c r="M827">
        <v>206.80799999999999</v>
      </c>
      <c r="N827" s="1">
        <v>43515</v>
      </c>
      <c r="O827" s="2">
        <v>0.42499999999999999</v>
      </c>
      <c r="P827" t="s">
        <v>25</v>
      </c>
      <c r="Q827">
        <v>196.96</v>
      </c>
      <c r="R827">
        <v>4.7619047620000003</v>
      </c>
      <c r="S827">
        <v>9.8480000000000008</v>
      </c>
      <c r="T827">
        <v>9.1999999999999993</v>
      </c>
    </row>
    <row r="828" spans="1:20" x14ac:dyDescent="0.3">
      <c r="A828">
        <v>658</v>
      </c>
      <c r="C828">
        <v>66</v>
      </c>
      <c r="D828">
        <v>3967</v>
      </c>
      <c r="E828" t="s">
        <v>26</v>
      </c>
      <c r="F828" t="s">
        <v>27</v>
      </c>
      <c r="G828" t="s">
        <v>28</v>
      </c>
      <c r="H828" t="s">
        <v>38</v>
      </c>
      <c r="I828" t="s">
        <v>24</v>
      </c>
      <c r="J828">
        <v>53.19</v>
      </c>
      <c r="K828">
        <v>7</v>
      </c>
      <c r="L828">
        <v>18.616499999999998</v>
      </c>
      <c r="M828">
        <v>390.94650000000001</v>
      </c>
      <c r="N828" s="1">
        <v>43479</v>
      </c>
      <c r="O828" s="2">
        <v>0.65416666666666667</v>
      </c>
      <c r="P828" t="s">
        <v>25</v>
      </c>
      <c r="Q828">
        <v>372.33</v>
      </c>
      <c r="R828">
        <v>4.7619047620000003</v>
      </c>
      <c r="S828">
        <v>18.616499999999998</v>
      </c>
      <c r="T828">
        <v>5</v>
      </c>
    </row>
    <row r="829" spans="1:20" x14ac:dyDescent="0.3">
      <c r="A829">
        <v>866</v>
      </c>
      <c r="C829">
        <v>70</v>
      </c>
      <c r="D829">
        <v>2814</v>
      </c>
      <c r="E829" t="s">
        <v>34</v>
      </c>
      <c r="F829" t="s">
        <v>35</v>
      </c>
      <c r="G829" t="s">
        <v>28</v>
      </c>
      <c r="H829" t="s">
        <v>23</v>
      </c>
      <c r="I829" t="s">
        <v>29</v>
      </c>
      <c r="J829">
        <v>52.79</v>
      </c>
      <c r="K829">
        <v>10</v>
      </c>
      <c r="L829">
        <v>26.395</v>
      </c>
      <c r="M829">
        <v>554.29499999999996</v>
      </c>
      <c r="N829" s="1">
        <v>43521</v>
      </c>
      <c r="O829" s="2">
        <v>0.49861111111111112</v>
      </c>
      <c r="P829" t="s">
        <v>25</v>
      </c>
      <c r="Q829">
        <v>527.9</v>
      </c>
      <c r="R829">
        <v>4.7619047620000003</v>
      </c>
      <c r="S829">
        <v>26.395</v>
      </c>
      <c r="T829">
        <v>10</v>
      </c>
    </row>
    <row r="830" spans="1:20" x14ac:dyDescent="0.3">
      <c r="A830">
        <v>160</v>
      </c>
      <c r="C830">
        <v>22</v>
      </c>
      <c r="D830">
        <v>2687</v>
      </c>
      <c r="E830" t="s">
        <v>20</v>
      </c>
      <c r="F830" t="s">
        <v>21</v>
      </c>
      <c r="G830" t="s">
        <v>22</v>
      </c>
      <c r="H830" t="s">
        <v>23</v>
      </c>
      <c r="I830" t="s">
        <v>24</v>
      </c>
      <c r="J830">
        <v>95.95</v>
      </c>
      <c r="K830">
        <v>5</v>
      </c>
      <c r="L830">
        <v>23.987500000000001</v>
      </c>
      <c r="M830">
        <v>503.73750000000001</v>
      </c>
      <c r="N830" s="1">
        <v>43488</v>
      </c>
      <c r="O830" s="2">
        <v>0.59791666666666665</v>
      </c>
      <c r="P830" t="s">
        <v>25</v>
      </c>
      <c r="Q830">
        <v>479.75</v>
      </c>
      <c r="R830">
        <v>4.7619047620000003</v>
      </c>
      <c r="S830">
        <v>23.987500000000001</v>
      </c>
      <c r="T830">
        <v>8.8000000000000007</v>
      </c>
    </row>
    <row r="831" spans="1:20" x14ac:dyDescent="0.3">
      <c r="A831">
        <v>895</v>
      </c>
      <c r="C831">
        <v>3</v>
      </c>
      <c r="D831">
        <v>6665</v>
      </c>
      <c r="E831" t="s">
        <v>34</v>
      </c>
      <c r="F831" t="s">
        <v>35</v>
      </c>
      <c r="G831" t="s">
        <v>28</v>
      </c>
      <c r="H831" t="s">
        <v>23</v>
      </c>
      <c r="I831" t="s">
        <v>37</v>
      </c>
      <c r="J831">
        <v>36.51</v>
      </c>
      <c r="K831">
        <v>9</v>
      </c>
      <c r="L831">
        <v>16.429500000000001</v>
      </c>
      <c r="M831">
        <v>345.01949999999999</v>
      </c>
      <c r="N831" s="1">
        <v>43512</v>
      </c>
      <c r="O831" s="2">
        <v>0.45277777777777778</v>
      </c>
      <c r="P831" t="s">
        <v>30</v>
      </c>
      <c r="Q831">
        <v>328.59</v>
      </c>
      <c r="R831">
        <v>4.7619047620000003</v>
      </c>
      <c r="S831">
        <v>16.429500000000001</v>
      </c>
      <c r="T831">
        <v>4.2</v>
      </c>
    </row>
    <row r="832" spans="1:20" x14ac:dyDescent="0.3">
      <c r="A832">
        <v>770</v>
      </c>
      <c r="C832">
        <v>42</v>
      </c>
      <c r="D832">
        <v>8960</v>
      </c>
      <c r="E832" t="s">
        <v>34</v>
      </c>
      <c r="F832" t="s">
        <v>35</v>
      </c>
      <c r="G832" t="s">
        <v>28</v>
      </c>
      <c r="H832" t="s">
        <v>38</v>
      </c>
      <c r="I832" t="s">
        <v>36</v>
      </c>
      <c r="J832">
        <v>21.12</v>
      </c>
      <c r="K832">
        <v>8</v>
      </c>
      <c r="L832">
        <v>8.4480000000000004</v>
      </c>
      <c r="M832">
        <v>177.40799999999999</v>
      </c>
      <c r="N832" s="1">
        <v>43466</v>
      </c>
      <c r="O832" s="2">
        <v>0.81319444444444444</v>
      </c>
      <c r="P832" t="s">
        <v>30</v>
      </c>
      <c r="Q832">
        <v>168.96</v>
      </c>
      <c r="R832">
        <v>4.7619047620000003</v>
      </c>
      <c r="S832">
        <v>8.4480000000000004</v>
      </c>
      <c r="T832">
        <v>6.3</v>
      </c>
    </row>
    <row r="833" spans="1:20" x14ac:dyDescent="0.3">
      <c r="A833">
        <v>748</v>
      </c>
      <c r="C833">
        <v>45</v>
      </c>
      <c r="D833">
        <v>2862</v>
      </c>
      <c r="E833" t="s">
        <v>20</v>
      </c>
      <c r="F833" t="s">
        <v>21</v>
      </c>
      <c r="G833" t="s">
        <v>22</v>
      </c>
      <c r="H833" t="s">
        <v>23</v>
      </c>
      <c r="I833" t="s">
        <v>31</v>
      </c>
      <c r="J833">
        <v>28.31</v>
      </c>
      <c r="K833">
        <v>4</v>
      </c>
      <c r="L833">
        <v>5.6619999999999999</v>
      </c>
      <c r="M833">
        <v>118.902</v>
      </c>
      <c r="N833" s="1">
        <v>43531</v>
      </c>
      <c r="O833" s="2">
        <v>0.77430555555555558</v>
      </c>
      <c r="P833" t="s">
        <v>30</v>
      </c>
      <c r="Q833">
        <v>113.24</v>
      </c>
      <c r="R833">
        <v>4.7619047620000003</v>
      </c>
      <c r="S833">
        <v>5.6619999999999999</v>
      </c>
      <c r="T833">
        <v>8.1999999999999993</v>
      </c>
    </row>
    <row r="834" spans="1:20" x14ac:dyDescent="0.3">
      <c r="A834">
        <v>234</v>
      </c>
      <c r="C834">
        <v>36</v>
      </c>
      <c r="D834">
        <v>2483</v>
      </c>
      <c r="E834" t="s">
        <v>34</v>
      </c>
      <c r="F834" t="s">
        <v>35</v>
      </c>
      <c r="G834" t="s">
        <v>28</v>
      </c>
      <c r="H834" t="s">
        <v>38</v>
      </c>
      <c r="I834" t="s">
        <v>24</v>
      </c>
      <c r="J834">
        <v>57.59</v>
      </c>
      <c r="K834">
        <v>6</v>
      </c>
      <c r="L834">
        <v>17.277000000000001</v>
      </c>
      <c r="M834">
        <v>362.81700000000001</v>
      </c>
      <c r="N834" s="1">
        <v>43511</v>
      </c>
      <c r="O834" s="2">
        <v>0.57708333333333328</v>
      </c>
      <c r="P834" t="s">
        <v>30</v>
      </c>
      <c r="Q834">
        <v>345.54</v>
      </c>
      <c r="R834">
        <v>4.7619047620000003</v>
      </c>
      <c r="S834">
        <v>17.277000000000001</v>
      </c>
      <c r="T834">
        <v>5.0999999999999996</v>
      </c>
    </row>
    <row r="835" spans="1:20" x14ac:dyDescent="0.3">
      <c r="A835">
        <v>316</v>
      </c>
      <c r="C835">
        <v>66</v>
      </c>
      <c r="D835">
        <v>3011</v>
      </c>
      <c r="E835" t="s">
        <v>20</v>
      </c>
      <c r="F835" t="s">
        <v>21</v>
      </c>
      <c r="G835" t="s">
        <v>22</v>
      </c>
      <c r="H835" t="s">
        <v>23</v>
      </c>
      <c r="I835" t="s">
        <v>36</v>
      </c>
      <c r="J835">
        <v>47.63</v>
      </c>
      <c r="K835">
        <v>9</v>
      </c>
      <c r="L835">
        <v>21.433499999999999</v>
      </c>
      <c r="M835">
        <v>450.1035</v>
      </c>
      <c r="N835" s="1">
        <v>43488</v>
      </c>
      <c r="O835" s="2">
        <v>0.52430555555555558</v>
      </c>
      <c r="P835" t="s">
        <v>30</v>
      </c>
      <c r="Q835">
        <v>428.67</v>
      </c>
      <c r="R835">
        <v>4.7619047620000003</v>
      </c>
      <c r="S835">
        <v>21.433499999999999</v>
      </c>
      <c r="T835">
        <v>5</v>
      </c>
    </row>
    <row r="836" spans="1:20" x14ac:dyDescent="0.3">
      <c r="A836">
        <v>848</v>
      </c>
      <c r="C836">
        <v>95</v>
      </c>
      <c r="D836">
        <v>6252</v>
      </c>
      <c r="E836" t="s">
        <v>26</v>
      </c>
      <c r="F836" t="s">
        <v>27</v>
      </c>
      <c r="G836" t="s">
        <v>22</v>
      </c>
      <c r="H836" t="s">
        <v>23</v>
      </c>
      <c r="I836" t="s">
        <v>31</v>
      </c>
      <c r="J836">
        <v>86.27</v>
      </c>
      <c r="K836">
        <v>1</v>
      </c>
      <c r="L836">
        <v>4.3135000000000003</v>
      </c>
      <c r="M836">
        <v>90.583500000000001</v>
      </c>
      <c r="N836" s="1">
        <v>43516</v>
      </c>
      <c r="O836" s="2">
        <v>0.55833333333333335</v>
      </c>
      <c r="P836" t="s">
        <v>25</v>
      </c>
      <c r="Q836">
        <v>86.27</v>
      </c>
      <c r="R836">
        <v>4.7619047620000003</v>
      </c>
      <c r="S836">
        <v>4.3135000000000003</v>
      </c>
      <c r="T836">
        <v>7</v>
      </c>
    </row>
    <row r="837" spans="1:20" x14ac:dyDescent="0.3">
      <c r="A837">
        <v>840</v>
      </c>
      <c r="C837">
        <v>76</v>
      </c>
      <c r="D837">
        <v>5966</v>
      </c>
      <c r="E837" t="s">
        <v>20</v>
      </c>
      <c r="F837" t="s">
        <v>21</v>
      </c>
      <c r="G837" t="s">
        <v>22</v>
      </c>
      <c r="H837" t="s">
        <v>38</v>
      </c>
      <c r="I837" t="s">
        <v>33</v>
      </c>
      <c r="J837">
        <v>12.76</v>
      </c>
      <c r="K837">
        <v>2</v>
      </c>
      <c r="L837">
        <v>1.276</v>
      </c>
      <c r="M837">
        <v>26.795999999999999</v>
      </c>
      <c r="N837" s="1">
        <v>43473</v>
      </c>
      <c r="O837" s="2">
        <v>0.75416666666666665</v>
      </c>
      <c r="P837" t="s">
        <v>25</v>
      </c>
      <c r="Q837">
        <v>25.52</v>
      </c>
      <c r="R837">
        <v>4.7619047620000003</v>
      </c>
      <c r="S837">
        <v>1.276</v>
      </c>
      <c r="T837">
        <v>7.8</v>
      </c>
    </row>
    <row r="838" spans="1:20" x14ac:dyDescent="0.3">
      <c r="A838">
        <v>152</v>
      </c>
      <c r="C838">
        <v>3</v>
      </c>
      <c r="D838">
        <v>4217</v>
      </c>
      <c r="E838" t="s">
        <v>34</v>
      </c>
      <c r="F838" t="s">
        <v>35</v>
      </c>
      <c r="G838" t="s">
        <v>28</v>
      </c>
      <c r="H838" t="s">
        <v>23</v>
      </c>
      <c r="I838" t="s">
        <v>31</v>
      </c>
      <c r="J838">
        <v>11.28</v>
      </c>
      <c r="K838">
        <v>9</v>
      </c>
      <c r="L838">
        <v>5.0759999999999996</v>
      </c>
      <c r="M838">
        <v>106.596</v>
      </c>
      <c r="N838" s="1">
        <v>43541</v>
      </c>
      <c r="O838" s="2">
        <v>0.49652777777777779</v>
      </c>
      <c r="P838" t="s">
        <v>32</v>
      </c>
      <c r="Q838">
        <v>101.52</v>
      </c>
      <c r="R838">
        <v>4.7619047620000003</v>
      </c>
      <c r="S838">
        <v>5.0759999999999996</v>
      </c>
      <c r="T838">
        <v>4.3</v>
      </c>
    </row>
    <row r="839" spans="1:20" x14ac:dyDescent="0.3">
      <c r="A839">
        <v>533</v>
      </c>
      <c r="C839">
        <v>66</v>
      </c>
      <c r="D839">
        <v>5566</v>
      </c>
      <c r="E839" t="s">
        <v>34</v>
      </c>
      <c r="F839" t="s">
        <v>35</v>
      </c>
      <c r="G839" t="s">
        <v>28</v>
      </c>
      <c r="H839" t="s">
        <v>23</v>
      </c>
      <c r="I839" t="s">
        <v>31</v>
      </c>
      <c r="J839">
        <v>51.07</v>
      </c>
      <c r="K839">
        <v>7</v>
      </c>
      <c r="L839">
        <v>17.874500000000001</v>
      </c>
      <c r="M839">
        <v>375.36450000000002</v>
      </c>
      <c r="N839" s="1">
        <v>43477</v>
      </c>
      <c r="O839" s="2">
        <v>0.48749999999999999</v>
      </c>
      <c r="P839" t="s">
        <v>30</v>
      </c>
      <c r="Q839">
        <v>357.49</v>
      </c>
      <c r="R839">
        <v>4.7619047620000003</v>
      </c>
      <c r="S839">
        <v>17.874500000000001</v>
      </c>
      <c r="T839">
        <v>7</v>
      </c>
    </row>
    <row r="840" spans="1:20" x14ac:dyDescent="0.3">
      <c r="A840">
        <v>124</v>
      </c>
      <c r="C840">
        <v>31</v>
      </c>
      <c r="D840">
        <v>1458</v>
      </c>
      <c r="E840" t="s">
        <v>20</v>
      </c>
      <c r="F840" t="s">
        <v>21</v>
      </c>
      <c r="G840" t="s">
        <v>22</v>
      </c>
      <c r="H840" t="s">
        <v>23</v>
      </c>
      <c r="I840" t="s">
        <v>29</v>
      </c>
      <c r="J840">
        <v>79.59</v>
      </c>
      <c r="K840">
        <v>3</v>
      </c>
      <c r="L840">
        <v>11.938499999999999</v>
      </c>
      <c r="M840">
        <v>250.70849999999999</v>
      </c>
      <c r="N840" s="1">
        <v>43473</v>
      </c>
      <c r="O840" s="2">
        <v>0.60416666666666663</v>
      </c>
      <c r="P840" t="s">
        <v>30</v>
      </c>
      <c r="Q840">
        <v>238.77</v>
      </c>
      <c r="R840">
        <v>4.7619047620000003</v>
      </c>
      <c r="S840">
        <v>11.938499999999999</v>
      </c>
      <c r="T840">
        <v>6.6</v>
      </c>
    </row>
    <row r="841" spans="1:20" x14ac:dyDescent="0.3">
      <c r="A841">
        <v>176</v>
      </c>
      <c r="C841">
        <v>78</v>
      </c>
      <c r="D841">
        <v>1170</v>
      </c>
      <c r="E841" t="s">
        <v>26</v>
      </c>
      <c r="F841" t="s">
        <v>27</v>
      </c>
      <c r="G841" t="s">
        <v>22</v>
      </c>
      <c r="H841" t="s">
        <v>38</v>
      </c>
      <c r="I841" t="s">
        <v>24</v>
      </c>
      <c r="J841">
        <v>33.81</v>
      </c>
      <c r="K841">
        <v>3</v>
      </c>
      <c r="L841">
        <v>5.0715000000000003</v>
      </c>
      <c r="M841">
        <v>106.50149999999999</v>
      </c>
      <c r="N841" s="1">
        <v>43491</v>
      </c>
      <c r="O841" s="2">
        <v>0.63263888888888886</v>
      </c>
      <c r="P841" t="s">
        <v>25</v>
      </c>
      <c r="Q841">
        <v>101.43</v>
      </c>
      <c r="R841">
        <v>4.7619047620000003</v>
      </c>
      <c r="S841">
        <v>5.0715000000000003</v>
      </c>
      <c r="T841">
        <v>7.3</v>
      </c>
    </row>
    <row r="842" spans="1:20" x14ac:dyDescent="0.3">
      <c r="A842">
        <v>361</v>
      </c>
      <c r="C842">
        <v>59</v>
      </c>
      <c r="D842">
        <v>574</v>
      </c>
      <c r="E842" t="s">
        <v>34</v>
      </c>
      <c r="F842" t="s">
        <v>35</v>
      </c>
      <c r="G842" t="s">
        <v>22</v>
      </c>
      <c r="H842" t="s">
        <v>38</v>
      </c>
      <c r="I842" t="s">
        <v>33</v>
      </c>
      <c r="J842">
        <v>90.53</v>
      </c>
      <c r="K842">
        <v>8</v>
      </c>
      <c r="L842">
        <v>36.212000000000003</v>
      </c>
      <c r="M842">
        <v>760.452</v>
      </c>
      <c r="N842" s="1">
        <v>43539</v>
      </c>
      <c r="O842" s="2">
        <v>0.6166666666666667</v>
      </c>
      <c r="P842" t="s">
        <v>32</v>
      </c>
      <c r="Q842">
        <v>724.24</v>
      </c>
      <c r="R842">
        <v>4.7619047620000003</v>
      </c>
      <c r="S842">
        <v>36.212000000000003</v>
      </c>
      <c r="T842">
        <v>6.5</v>
      </c>
    </row>
    <row r="843" spans="1:20" x14ac:dyDescent="0.3">
      <c r="A843">
        <v>101</v>
      </c>
      <c r="C843">
        <v>81</v>
      </c>
      <c r="D843">
        <v>4070</v>
      </c>
      <c r="E843" t="s">
        <v>26</v>
      </c>
      <c r="F843" t="s">
        <v>27</v>
      </c>
      <c r="G843" t="s">
        <v>22</v>
      </c>
      <c r="H843" t="s">
        <v>23</v>
      </c>
      <c r="I843" t="s">
        <v>24</v>
      </c>
      <c r="J843">
        <v>62.82</v>
      </c>
      <c r="K843">
        <v>2</v>
      </c>
      <c r="L843">
        <v>6.282</v>
      </c>
      <c r="M843">
        <v>131.922</v>
      </c>
      <c r="N843" s="1">
        <v>43482</v>
      </c>
      <c r="O843" s="2">
        <v>0.52500000000000002</v>
      </c>
      <c r="P843" t="s">
        <v>25</v>
      </c>
      <c r="Q843">
        <v>125.64</v>
      </c>
      <c r="R843">
        <v>4.7619047620000003</v>
      </c>
      <c r="S843">
        <v>6.282</v>
      </c>
      <c r="T843">
        <v>4.9000000000000004</v>
      </c>
    </row>
    <row r="844" spans="1:20" x14ac:dyDescent="0.3">
      <c r="A844">
        <v>631</v>
      </c>
      <c r="C844">
        <v>34</v>
      </c>
      <c r="D844">
        <v>1880</v>
      </c>
      <c r="E844" t="s">
        <v>26</v>
      </c>
      <c r="F844" t="s">
        <v>27</v>
      </c>
      <c r="G844" t="s">
        <v>22</v>
      </c>
      <c r="H844" t="s">
        <v>38</v>
      </c>
      <c r="I844" t="s">
        <v>36</v>
      </c>
      <c r="J844">
        <v>24.31</v>
      </c>
      <c r="K844">
        <v>3</v>
      </c>
      <c r="L844">
        <v>3.6465000000000001</v>
      </c>
      <c r="M844">
        <v>76.576499999999996</v>
      </c>
      <c r="N844" s="1">
        <v>43473</v>
      </c>
      <c r="O844" s="2">
        <v>0.79791666666666672</v>
      </c>
      <c r="P844" t="s">
        <v>32</v>
      </c>
      <c r="Q844">
        <v>72.930000000000007</v>
      </c>
      <c r="R844">
        <v>4.7619047620000003</v>
      </c>
      <c r="S844">
        <v>3.6465000000000001</v>
      </c>
      <c r="T844">
        <v>4.3</v>
      </c>
    </row>
    <row r="845" spans="1:20" x14ac:dyDescent="0.3">
      <c r="A845">
        <v>852</v>
      </c>
      <c r="C845">
        <v>82</v>
      </c>
      <c r="D845">
        <v>2749</v>
      </c>
      <c r="E845" t="s">
        <v>20</v>
      </c>
      <c r="F845" t="s">
        <v>21</v>
      </c>
      <c r="G845" t="s">
        <v>28</v>
      </c>
      <c r="H845" t="s">
        <v>38</v>
      </c>
      <c r="I845" t="s">
        <v>33</v>
      </c>
      <c r="J845">
        <v>64.59</v>
      </c>
      <c r="K845">
        <v>4</v>
      </c>
      <c r="L845">
        <v>12.917999999999999</v>
      </c>
      <c r="M845">
        <v>271.27800000000002</v>
      </c>
      <c r="N845" s="1">
        <v>43471</v>
      </c>
      <c r="O845" s="2">
        <v>0.56597222222222221</v>
      </c>
      <c r="P845" t="s">
        <v>25</v>
      </c>
      <c r="Q845">
        <v>258.36</v>
      </c>
      <c r="R845">
        <v>4.7619047620000003</v>
      </c>
      <c r="S845">
        <v>12.917999999999999</v>
      </c>
      <c r="T845">
        <v>9.3000000000000007</v>
      </c>
    </row>
    <row r="846" spans="1:20" x14ac:dyDescent="0.3">
      <c r="A846">
        <v>873</v>
      </c>
      <c r="C846">
        <v>14</v>
      </c>
      <c r="D846">
        <v>6353</v>
      </c>
      <c r="E846" t="s">
        <v>20</v>
      </c>
      <c r="F846" t="s">
        <v>21</v>
      </c>
      <c r="G846" t="s">
        <v>22</v>
      </c>
      <c r="H846" t="s">
        <v>38</v>
      </c>
      <c r="I846" t="s">
        <v>36</v>
      </c>
      <c r="J846">
        <v>24.82</v>
      </c>
      <c r="K846">
        <v>7</v>
      </c>
      <c r="L846">
        <v>8.6869999999999994</v>
      </c>
      <c r="M846">
        <v>182.42699999999999</v>
      </c>
      <c r="N846" s="1">
        <v>43512</v>
      </c>
      <c r="O846" s="2">
        <v>0.43958333333333333</v>
      </c>
      <c r="P846" t="s">
        <v>32</v>
      </c>
      <c r="Q846">
        <v>173.74</v>
      </c>
      <c r="R846">
        <v>4.7619047620000003</v>
      </c>
      <c r="S846">
        <v>8.6869999999999994</v>
      </c>
      <c r="T846">
        <v>7.1</v>
      </c>
    </row>
    <row r="847" spans="1:20" x14ac:dyDescent="0.3">
      <c r="A847">
        <v>584</v>
      </c>
      <c r="C847">
        <v>66</v>
      </c>
      <c r="D847">
        <v>4073</v>
      </c>
      <c r="E847" t="s">
        <v>26</v>
      </c>
      <c r="F847" t="s">
        <v>27</v>
      </c>
      <c r="G847" t="s">
        <v>28</v>
      </c>
      <c r="H847" t="s">
        <v>38</v>
      </c>
      <c r="I847" t="s">
        <v>37</v>
      </c>
      <c r="J847">
        <v>56.5</v>
      </c>
      <c r="K847">
        <v>1</v>
      </c>
      <c r="L847">
        <v>2.8250000000000002</v>
      </c>
      <c r="M847">
        <v>59.325000000000003</v>
      </c>
      <c r="N847" s="1">
        <v>43537</v>
      </c>
      <c r="O847" s="2">
        <v>0.65625</v>
      </c>
      <c r="P847" t="s">
        <v>25</v>
      </c>
      <c r="Q847">
        <v>56.5</v>
      </c>
      <c r="R847">
        <v>4.7619047620000003</v>
      </c>
      <c r="S847">
        <v>2.8250000000000002</v>
      </c>
      <c r="T847">
        <v>9.6</v>
      </c>
    </row>
    <row r="848" spans="1:20" x14ac:dyDescent="0.3">
      <c r="A848">
        <v>544</v>
      </c>
      <c r="C848">
        <v>55</v>
      </c>
      <c r="D848">
        <v>9589</v>
      </c>
      <c r="E848" t="s">
        <v>34</v>
      </c>
      <c r="F848" t="s">
        <v>35</v>
      </c>
      <c r="G848" t="s">
        <v>22</v>
      </c>
      <c r="H848" t="s">
        <v>23</v>
      </c>
      <c r="I848" t="s">
        <v>29</v>
      </c>
      <c r="J848">
        <v>21.43</v>
      </c>
      <c r="K848">
        <v>10</v>
      </c>
      <c r="L848">
        <v>10.715</v>
      </c>
      <c r="M848">
        <v>225.01499999999999</v>
      </c>
      <c r="N848" s="1">
        <v>43493</v>
      </c>
      <c r="O848" s="2">
        <v>0.49375000000000002</v>
      </c>
      <c r="P848" t="s">
        <v>30</v>
      </c>
      <c r="Q848">
        <v>214.3</v>
      </c>
      <c r="R848">
        <v>4.7619047620000003</v>
      </c>
      <c r="S848">
        <v>10.715</v>
      </c>
      <c r="T848">
        <v>6.2</v>
      </c>
    </row>
    <row r="849" spans="1:20" x14ac:dyDescent="0.3">
      <c r="A849">
        <v>166</v>
      </c>
      <c r="C849">
        <v>19</v>
      </c>
      <c r="D849">
        <v>2553</v>
      </c>
      <c r="E849" t="s">
        <v>20</v>
      </c>
      <c r="F849" t="s">
        <v>21</v>
      </c>
      <c r="G849" t="s">
        <v>22</v>
      </c>
      <c r="H849" t="s">
        <v>38</v>
      </c>
      <c r="I849" t="s">
        <v>33</v>
      </c>
      <c r="J849">
        <v>89.06</v>
      </c>
      <c r="K849">
        <v>6</v>
      </c>
      <c r="L849">
        <v>26.718</v>
      </c>
      <c r="M849">
        <v>561.07799999999997</v>
      </c>
      <c r="N849" s="1">
        <v>43483</v>
      </c>
      <c r="O849" s="2">
        <v>0.72638888888888886</v>
      </c>
      <c r="P849" t="s">
        <v>30</v>
      </c>
      <c r="Q849">
        <v>534.36</v>
      </c>
      <c r="R849">
        <v>4.7619047620000003</v>
      </c>
      <c r="S849">
        <v>26.718</v>
      </c>
      <c r="T849">
        <v>9.9</v>
      </c>
    </row>
    <row r="850" spans="1:20" x14ac:dyDescent="0.3">
      <c r="A850">
        <v>737</v>
      </c>
      <c r="C850">
        <v>88</v>
      </c>
      <c r="D850">
        <v>5876</v>
      </c>
      <c r="E850" t="s">
        <v>20</v>
      </c>
      <c r="F850" t="s">
        <v>21</v>
      </c>
      <c r="G850" t="s">
        <v>22</v>
      </c>
      <c r="H850" t="s">
        <v>38</v>
      </c>
      <c r="I850" t="s">
        <v>31</v>
      </c>
      <c r="J850">
        <v>23.29</v>
      </c>
      <c r="K850">
        <v>4</v>
      </c>
      <c r="L850">
        <v>4.6580000000000004</v>
      </c>
      <c r="M850">
        <v>97.817999999999998</v>
      </c>
      <c r="N850" s="1">
        <v>43543</v>
      </c>
      <c r="O850" s="2">
        <v>0.49444444444444446</v>
      </c>
      <c r="P850" t="s">
        <v>32</v>
      </c>
      <c r="Q850">
        <v>93.16</v>
      </c>
      <c r="R850">
        <v>4.7619047620000003</v>
      </c>
      <c r="S850">
        <v>4.6580000000000004</v>
      </c>
      <c r="T850">
        <v>5.9</v>
      </c>
    </row>
    <row r="851" spans="1:20" x14ac:dyDescent="0.3">
      <c r="A851">
        <v>154</v>
      </c>
      <c r="C851">
        <v>87</v>
      </c>
      <c r="D851">
        <v>7367</v>
      </c>
      <c r="E851" t="s">
        <v>26</v>
      </c>
      <c r="F851" t="s">
        <v>27</v>
      </c>
      <c r="G851" t="s">
        <v>28</v>
      </c>
      <c r="H851" t="s">
        <v>38</v>
      </c>
      <c r="I851" t="s">
        <v>31</v>
      </c>
      <c r="J851">
        <v>65.260000000000005</v>
      </c>
      <c r="K851">
        <v>8</v>
      </c>
      <c r="L851">
        <v>26.103999999999999</v>
      </c>
      <c r="M851">
        <v>548.18399999999997</v>
      </c>
      <c r="N851" s="1">
        <v>43539</v>
      </c>
      <c r="O851" s="2">
        <v>0.58611111111111114</v>
      </c>
      <c r="P851" t="s">
        <v>25</v>
      </c>
      <c r="Q851">
        <v>522.08000000000004</v>
      </c>
      <c r="R851">
        <v>4.7619047620000003</v>
      </c>
      <c r="S851">
        <v>26.103999999999999</v>
      </c>
      <c r="T851">
        <v>6.3</v>
      </c>
    </row>
    <row r="852" spans="1:20" x14ac:dyDescent="0.3">
      <c r="A852">
        <v>885</v>
      </c>
      <c r="C852">
        <v>56</v>
      </c>
      <c r="D852">
        <v>389</v>
      </c>
      <c r="E852" t="s">
        <v>26</v>
      </c>
      <c r="F852" t="s">
        <v>27</v>
      </c>
      <c r="G852" t="s">
        <v>22</v>
      </c>
      <c r="H852" t="s">
        <v>38</v>
      </c>
      <c r="I852" t="s">
        <v>37</v>
      </c>
      <c r="J852">
        <v>52.35</v>
      </c>
      <c r="K852">
        <v>1</v>
      </c>
      <c r="L852">
        <v>2.6175000000000002</v>
      </c>
      <c r="M852">
        <v>54.967500000000001</v>
      </c>
      <c r="N852" s="1">
        <v>43508</v>
      </c>
      <c r="O852" s="2">
        <v>0.74236111111111114</v>
      </c>
      <c r="P852" t="s">
        <v>30</v>
      </c>
      <c r="Q852">
        <v>52.35</v>
      </c>
      <c r="R852">
        <v>4.7619047620000003</v>
      </c>
      <c r="S852">
        <v>2.6175000000000002</v>
      </c>
      <c r="T852">
        <v>4</v>
      </c>
    </row>
    <row r="853" spans="1:20" x14ac:dyDescent="0.3">
      <c r="A853">
        <v>608</v>
      </c>
      <c r="C853">
        <v>5</v>
      </c>
      <c r="D853">
        <v>3804</v>
      </c>
      <c r="E853" t="s">
        <v>34</v>
      </c>
      <c r="F853" t="s">
        <v>35</v>
      </c>
      <c r="G853" t="s">
        <v>22</v>
      </c>
      <c r="H853" t="s">
        <v>38</v>
      </c>
      <c r="I853" t="s">
        <v>29</v>
      </c>
      <c r="J853">
        <v>39.75</v>
      </c>
      <c r="K853">
        <v>1</v>
      </c>
      <c r="L853">
        <v>1.9875</v>
      </c>
      <c r="M853">
        <v>41.737499999999997</v>
      </c>
      <c r="N853" s="1">
        <v>43521</v>
      </c>
      <c r="O853" s="2">
        <v>0.84652777777777777</v>
      </c>
      <c r="P853" t="s">
        <v>30</v>
      </c>
      <c r="Q853">
        <v>39.75</v>
      </c>
      <c r="R853">
        <v>4.7619047620000003</v>
      </c>
      <c r="S853">
        <v>1.9875</v>
      </c>
      <c r="T853">
        <v>6.1</v>
      </c>
    </row>
    <row r="854" spans="1:20" x14ac:dyDescent="0.3">
      <c r="A854">
        <v>448</v>
      </c>
      <c r="C854">
        <v>61</v>
      </c>
      <c r="D854">
        <v>3783</v>
      </c>
      <c r="E854" t="s">
        <v>20</v>
      </c>
      <c r="F854" t="s">
        <v>21</v>
      </c>
      <c r="G854" t="s">
        <v>28</v>
      </c>
      <c r="H854" t="s">
        <v>23</v>
      </c>
      <c r="I854" t="s">
        <v>29</v>
      </c>
      <c r="J854">
        <v>90.02</v>
      </c>
      <c r="K854">
        <v>8</v>
      </c>
      <c r="L854">
        <v>36.008000000000003</v>
      </c>
      <c r="M854">
        <v>756.16800000000001</v>
      </c>
      <c r="N854" s="1">
        <v>43545</v>
      </c>
      <c r="O854" s="2">
        <v>0.67222222222222228</v>
      </c>
      <c r="P854" t="s">
        <v>32</v>
      </c>
      <c r="Q854">
        <v>720.16</v>
      </c>
      <c r="R854">
        <v>4.7619047620000003</v>
      </c>
      <c r="S854">
        <v>36.008000000000003</v>
      </c>
      <c r="T854">
        <v>4.5</v>
      </c>
    </row>
    <row r="855" spans="1:20" x14ac:dyDescent="0.3">
      <c r="A855">
        <v>761</v>
      </c>
      <c r="C855">
        <v>49</v>
      </c>
      <c r="D855">
        <v>439</v>
      </c>
      <c r="E855" t="s">
        <v>34</v>
      </c>
      <c r="F855" t="s">
        <v>35</v>
      </c>
      <c r="G855" t="s">
        <v>22</v>
      </c>
      <c r="H855" t="s">
        <v>23</v>
      </c>
      <c r="I855" t="s">
        <v>29</v>
      </c>
      <c r="J855">
        <v>12.1</v>
      </c>
      <c r="K855">
        <v>8</v>
      </c>
      <c r="L855">
        <v>4.84</v>
      </c>
      <c r="M855">
        <v>101.64</v>
      </c>
      <c r="N855" s="1">
        <v>43484</v>
      </c>
      <c r="O855" s="2">
        <v>0.4284722222222222</v>
      </c>
      <c r="P855" t="s">
        <v>25</v>
      </c>
      <c r="Q855">
        <v>96.8</v>
      </c>
      <c r="R855">
        <v>4.7619047620000003</v>
      </c>
      <c r="S855">
        <v>4.84</v>
      </c>
      <c r="T855">
        <v>8.6</v>
      </c>
    </row>
    <row r="856" spans="1:20" x14ac:dyDescent="0.3">
      <c r="A856">
        <v>490</v>
      </c>
      <c r="C856">
        <v>95</v>
      </c>
      <c r="D856">
        <v>21</v>
      </c>
      <c r="E856" t="s">
        <v>34</v>
      </c>
      <c r="F856" t="s">
        <v>35</v>
      </c>
      <c r="G856" t="s">
        <v>22</v>
      </c>
      <c r="H856" t="s">
        <v>23</v>
      </c>
      <c r="I856" t="s">
        <v>36</v>
      </c>
      <c r="J856">
        <v>33.21</v>
      </c>
      <c r="K856">
        <v>10</v>
      </c>
      <c r="L856">
        <v>16.605</v>
      </c>
      <c r="M856">
        <v>348.70499999999998</v>
      </c>
      <c r="N856" s="1">
        <v>43473</v>
      </c>
      <c r="O856" s="2">
        <v>0.60069444444444442</v>
      </c>
      <c r="P856" t="s">
        <v>25</v>
      </c>
      <c r="Q856">
        <v>332.1</v>
      </c>
      <c r="R856">
        <v>4.7619047620000003</v>
      </c>
      <c r="S856">
        <v>16.605</v>
      </c>
      <c r="T856">
        <v>6</v>
      </c>
    </row>
    <row r="857" spans="1:20" x14ac:dyDescent="0.3">
      <c r="A857">
        <v>115</v>
      </c>
      <c r="C857">
        <v>38</v>
      </c>
      <c r="D857">
        <v>7388</v>
      </c>
      <c r="E857" t="s">
        <v>26</v>
      </c>
      <c r="F857" t="s">
        <v>27</v>
      </c>
      <c r="G857" t="s">
        <v>22</v>
      </c>
      <c r="H857" t="s">
        <v>23</v>
      </c>
      <c r="I857" t="s">
        <v>37</v>
      </c>
      <c r="J857">
        <v>10.18</v>
      </c>
      <c r="K857">
        <v>8</v>
      </c>
      <c r="L857">
        <v>4.0720000000000001</v>
      </c>
      <c r="M857">
        <v>85.512</v>
      </c>
      <c r="N857" s="1">
        <v>43554</v>
      </c>
      <c r="O857" s="2">
        <v>0.53541666666666665</v>
      </c>
      <c r="P857" t="s">
        <v>32</v>
      </c>
      <c r="Q857">
        <v>81.44</v>
      </c>
      <c r="R857">
        <v>4.7619047620000003</v>
      </c>
      <c r="S857">
        <v>4.0720000000000001</v>
      </c>
      <c r="T857">
        <v>9.5</v>
      </c>
    </row>
    <row r="858" spans="1:20" x14ac:dyDescent="0.3">
      <c r="A858">
        <v>311</v>
      </c>
      <c r="C858">
        <v>13</v>
      </c>
      <c r="D858">
        <v>6971</v>
      </c>
      <c r="E858" t="s">
        <v>34</v>
      </c>
      <c r="F858" t="s">
        <v>35</v>
      </c>
      <c r="G858" t="s">
        <v>22</v>
      </c>
      <c r="H858" t="s">
        <v>38</v>
      </c>
      <c r="I858" t="s">
        <v>33</v>
      </c>
      <c r="J858">
        <v>31.99</v>
      </c>
      <c r="K858">
        <v>10</v>
      </c>
      <c r="L858">
        <v>15.994999999999999</v>
      </c>
      <c r="M858">
        <v>335.89499999999998</v>
      </c>
      <c r="N858" s="1">
        <v>43516</v>
      </c>
      <c r="O858" s="2">
        <v>0.63749999999999996</v>
      </c>
      <c r="P858" t="s">
        <v>32</v>
      </c>
      <c r="Q858">
        <v>319.89999999999998</v>
      </c>
      <c r="R858">
        <v>4.7619047620000003</v>
      </c>
      <c r="S858">
        <v>15.994999999999999</v>
      </c>
      <c r="T858">
        <v>9.9</v>
      </c>
    </row>
    <row r="859" spans="1:20" x14ac:dyDescent="0.3">
      <c r="A859">
        <v>291</v>
      </c>
      <c r="C859">
        <v>55</v>
      </c>
      <c r="D859">
        <v>6563</v>
      </c>
      <c r="E859" t="s">
        <v>20</v>
      </c>
      <c r="F859" t="s">
        <v>21</v>
      </c>
      <c r="G859" t="s">
        <v>22</v>
      </c>
      <c r="H859" t="s">
        <v>23</v>
      </c>
      <c r="I859" t="s">
        <v>31</v>
      </c>
      <c r="J859">
        <v>34.42</v>
      </c>
      <c r="K859">
        <v>6</v>
      </c>
      <c r="L859">
        <v>10.326000000000001</v>
      </c>
      <c r="M859">
        <v>216.846</v>
      </c>
      <c r="N859" s="1">
        <v>43554</v>
      </c>
      <c r="O859" s="2">
        <v>0.53125</v>
      </c>
      <c r="P859" t="s">
        <v>25</v>
      </c>
      <c r="Q859">
        <v>206.52</v>
      </c>
      <c r="R859">
        <v>4.7619047620000003</v>
      </c>
      <c r="S859">
        <v>10.326000000000001</v>
      </c>
      <c r="T859">
        <v>7.5</v>
      </c>
    </row>
    <row r="860" spans="1:20" x14ac:dyDescent="0.3">
      <c r="A860">
        <v>548</v>
      </c>
      <c r="C860">
        <v>48</v>
      </c>
      <c r="D860">
        <v>3156</v>
      </c>
      <c r="E860" t="s">
        <v>20</v>
      </c>
      <c r="F860" t="s">
        <v>21</v>
      </c>
      <c r="G860" t="s">
        <v>22</v>
      </c>
      <c r="H860" t="s">
        <v>23</v>
      </c>
      <c r="I860" t="s">
        <v>36</v>
      </c>
      <c r="J860">
        <v>83.34</v>
      </c>
      <c r="K860">
        <v>2</v>
      </c>
      <c r="L860">
        <v>8.3339999999999996</v>
      </c>
      <c r="M860">
        <v>175.01400000000001</v>
      </c>
      <c r="N860" s="1">
        <v>43543</v>
      </c>
      <c r="O860" s="2">
        <v>0.56736111111111109</v>
      </c>
      <c r="P860" t="s">
        <v>30</v>
      </c>
      <c r="Q860">
        <v>166.68</v>
      </c>
      <c r="R860">
        <v>4.7619047620000003</v>
      </c>
      <c r="S860">
        <v>8.3339999999999996</v>
      </c>
      <c r="T860">
        <v>7.6</v>
      </c>
    </row>
    <row r="861" spans="1:20" x14ac:dyDescent="0.3">
      <c r="A861">
        <v>460</v>
      </c>
      <c r="C861">
        <v>93</v>
      </c>
      <c r="D861">
        <v>5834</v>
      </c>
      <c r="E861" t="s">
        <v>20</v>
      </c>
      <c r="F861" t="s">
        <v>21</v>
      </c>
      <c r="G861" t="s">
        <v>28</v>
      </c>
      <c r="H861" t="s">
        <v>38</v>
      </c>
      <c r="I861" t="s">
        <v>33</v>
      </c>
      <c r="J861">
        <v>45.58</v>
      </c>
      <c r="K861">
        <v>7</v>
      </c>
      <c r="L861">
        <v>15.952999999999999</v>
      </c>
      <c r="M861">
        <v>335.01299999999998</v>
      </c>
      <c r="N861" s="1">
        <v>43478</v>
      </c>
      <c r="O861" s="2">
        <v>0.41875000000000001</v>
      </c>
      <c r="P861" t="s">
        <v>30</v>
      </c>
      <c r="Q861">
        <v>319.06</v>
      </c>
      <c r="R861">
        <v>4.7619047620000003</v>
      </c>
      <c r="S861">
        <v>15.952999999999999</v>
      </c>
      <c r="T861">
        <v>5</v>
      </c>
    </row>
    <row r="862" spans="1:20" x14ac:dyDescent="0.3">
      <c r="A862">
        <v>325</v>
      </c>
      <c r="C862">
        <v>89</v>
      </c>
      <c r="D862">
        <v>4209</v>
      </c>
      <c r="E862" t="s">
        <v>20</v>
      </c>
      <c r="F862" t="s">
        <v>21</v>
      </c>
      <c r="G862" t="s">
        <v>22</v>
      </c>
      <c r="H862" t="s">
        <v>38</v>
      </c>
      <c r="I862" t="s">
        <v>36</v>
      </c>
      <c r="J862">
        <v>87.9</v>
      </c>
      <c r="K862">
        <v>1</v>
      </c>
      <c r="L862">
        <v>4.3949999999999996</v>
      </c>
      <c r="M862">
        <v>92.295000000000002</v>
      </c>
      <c r="N862" s="1">
        <v>43501</v>
      </c>
      <c r="O862" s="2">
        <v>0.8208333333333333</v>
      </c>
      <c r="P862" t="s">
        <v>25</v>
      </c>
      <c r="Q862">
        <v>87.9</v>
      </c>
      <c r="R862">
        <v>4.7619047620000003</v>
      </c>
      <c r="S862">
        <v>4.3949999999999996</v>
      </c>
      <c r="T862">
        <v>6.7</v>
      </c>
    </row>
    <row r="863" spans="1:20" x14ac:dyDescent="0.3">
      <c r="A863">
        <v>884</v>
      </c>
      <c r="C863">
        <v>80</v>
      </c>
      <c r="D863">
        <v>6021</v>
      </c>
      <c r="E863" t="s">
        <v>20</v>
      </c>
      <c r="F863" t="s">
        <v>21</v>
      </c>
      <c r="G863" t="s">
        <v>22</v>
      </c>
      <c r="H863" t="s">
        <v>23</v>
      </c>
      <c r="I863" t="s">
        <v>29</v>
      </c>
      <c r="J863">
        <v>73.47</v>
      </c>
      <c r="K863">
        <v>10</v>
      </c>
      <c r="L863">
        <v>36.734999999999999</v>
      </c>
      <c r="M863">
        <v>771.43499999999995</v>
      </c>
      <c r="N863" s="1">
        <v>43547</v>
      </c>
      <c r="O863" s="2">
        <v>0.55138888888888893</v>
      </c>
      <c r="P863" t="s">
        <v>25</v>
      </c>
      <c r="Q863">
        <v>734.7</v>
      </c>
      <c r="R863">
        <v>4.7619047620000003</v>
      </c>
      <c r="S863">
        <v>36.734999999999999</v>
      </c>
      <c r="T863">
        <v>9.5</v>
      </c>
    </row>
    <row r="864" spans="1:20" x14ac:dyDescent="0.3">
      <c r="A864">
        <v>137</v>
      </c>
      <c r="C864">
        <v>74</v>
      </c>
      <c r="D864">
        <v>8729</v>
      </c>
      <c r="E864" t="s">
        <v>26</v>
      </c>
      <c r="F864" t="s">
        <v>27</v>
      </c>
      <c r="G864" t="s">
        <v>28</v>
      </c>
      <c r="H864" t="s">
        <v>23</v>
      </c>
      <c r="I864" t="s">
        <v>37</v>
      </c>
      <c r="J864">
        <v>12.19</v>
      </c>
      <c r="K864">
        <v>8</v>
      </c>
      <c r="L864">
        <v>4.8760000000000003</v>
      </c>
      <c r="M864">
        <v>102.396</v>
      </c>
      <c r="N864" s="1">
        <v>43537</v>
      </c>
      <c r="O864" s="2">
        <v>0.53263888888888888</v>
      </c>
      <c r="P864" t="s">
        <v>25</v>
      </c>
      <c r="Q864">
        <v>97.52</v>
      </c>
      <c r="R864">
        <v>4.7619047620000003</v>
      </c>
      <c r="S864">
        <v>4.8760000000000003</v>
      </c>
      <c r="T864">
        <v>6.8</v>
      </c>
    </row>
    <row r="865" spans="1:20" x14ac:dyDescent="0.3">
      <c r="A865">
        <v>880</v>
      </c>
      <c r="C865">
        <v>46</v>
      </c>
      <c r="D865">
        <v>5796</v>
      </c>
      <c r="E865" t="s">
        <v>20</v>
      </c>
      <c r="F865" t="s">
        <v>21</v>
      </c>
      <c r="G865" t="s">
        <v>22</v>
      </c>
      <c r="H865" t="s">
        <v>38</v>
      </c>
      <c r="I865" t="s">
        <v>33</v>
      </c>
      <c r="J865">
        <v>76.92</v>
      </c>
      <c r="K865">
        <v>10</v>
      </c>
      <c r="L865">
        <v>38.46</v>
      </c>
      <c r="M865">
        <v>807.66</v>
      </c>
      <c r="N865" s="1">
        <v>43541</v>
      </c>
      <c r="O865" s="2">
        <v>0.82847222222222228</v>
      </c>
      <c r="P865" t="s">
        <v>25</v>
      </c>
      <c r="Q865">
        <v>769.2</v>
      </c>
      <c r="R865">
        <v>4.7619047620000003</v>
      </c>
      <c r="S865">
        <v>38.46</v>
      </c>
      <c r="T865">
        <v>5.6</v>
      </c>
    </row>
    <row r="866" spans="1:20" x14ac:dyDescent="0.3">
      <c r="A866">
        <v>389</v>
      </c>
      <c r="C866">
        <v>70</v>
      </c>
      <c r="D866">
        <v>2397</v>
      </c>
      <c r="E866" t="s">
        <v>26</v>
      </c>
      <c r="F866" t="s">
        <v>27</v>
      </c>
      <c r="G866" t="s">
        <v>28</v>
      </c>
      <c r="H866" t="s">
        <v>23</v>
      </c>
      <c r="I866" t="s">
        <v>24</v>
      </c>
      <c r="J866">
        <v>83.66</v>
      </c>
      <c r="K866">
        <v>5</v>
      </c>
      <c r="L866">
        <v>20.914999999999999</v>
      </c>
      <c r="M866">
        <v>439.21499999999997</v>
      </c>
      <c r="N866" s="1">
        <v>43517</v>
      </c>
      <c r="O866" s="2">
        <v>0.43472222222222223</v>
      </c>
      <c r="P866" t="s">
        <v>30</v>
      </c>
      <c r="Q866">
        <v>418.3</v>
      </c>
      <c r="R866">
        <v>4.7619047620000003</v>
      </c>
      <c r="S866">
        <v>20.914999999999999</v>
      </c>
      <c r="T866">
        <v>7.2</v>
      </c>
    </row>
    <row r="867" spans="1:20" x14ac:dyDescent="0.3">
      <c r="A867">
        <v>114</v>
      </c>
      <c r="C867">
        <v>35</v>
      </c>
      <c r="D867">
        <v>5271</v>
      </c>
      <c r="E867" t="s">
        <v>34</v>
      </c>
      <c r="F867" t="s">
        <v>35</v>
      </c>
      <c r="G867" t="s">
        <v>28</v>
      </c>
      <c r="H867" t="s">
        <v>23</v>
      </c>
      <c r="I867" t="s">
        <v>29</v>
      </c>
      <c r="J867">
        <v>57.91</v>
      </c>
      <c r="K867">
        <v>8</v>
      </c>
      <c r="L867">
        <v>23.164000000000001</v>
      </c>
      <c r="M867">
        <v>486.44400000000002</v>
      </c>
      <c r="N867" s="1">
        <v>43503</v>
      </c>
      <c r="O867" s="2">
        <v>0.62916666666666665</v>
      </c>
      <c r="P867" t="s">
        <v>30</v>
      </c>
      <c r="Q867">
        <v>463.28</v>
      </c>
      <c r="R867">
        <v>4.7619047620000003</v>
      </c>
      <c r="S867">
        <v>23.164000000000001</v>
      </c>
      <c r="T867">
        <v>8.1</v>
      </c>
    </row>
    <row r="868" spans="1:20" x14ac:dyDescent="0.3">
      <c r="A868">
        <v>607</v>
      </c>
      <c r="C868">
        <v>76</v>
      </c>
      <c r="D868">
        <v>6216</v>
      </c>
      <c r="E868" t="s">
        <v>26</v>
      </c>
      <c r="F868" t="s">
        <v>27</v>
      </c>
      <c r="G868" t="s">
        <v>22</v>
      </c>
      <c r="H868" t="s">
        <v>23</v>
      </c>
      <c r="I868" t="s">
        <v>37</v>
      </c>
      <c r="J868">
        <v>92.49</v>
      </c>
      <c r="K868">
        <v>5</v>
      </c>
      <c r="L868">
        <v>23.122499999999999</v>
      </c>
      <c r="M868">
        <v>485.57249999999999</v>
      </c>
      <c r="N868" s="1">
        <v>43526</v>
      </c>
      <c r="O868" s="2">
        <v>0.69097222222222221</v>
      </c>
      <c r="P868" t="s">
        <v>32</v>
      </c>
      <c r="Q868">
        <v>462.45</v>
      </c>
      <c r="R868">
        <v>4.7619047620000003</v>
      </c>
      <c r="S868">
        <v>23.122499999999999</v>
      </c>
      <c r="T868">
        <v>8.6</v>
      </c>
    </row>
    <row r="869" spans="1:20" x14ac:dyDescent="0.3">
      <c r="A869">
        <v>715</v>
      </c>
      <c r="C869">
        <v>20</v>
      </c>
      <c r="D869">
        <v>1673</v>
      </c>
      <c r="E869" t="s">
        <v>34</v>
      </c>
      <c r="F869" t="s">
        <v>35</v>
      </c>
      <c r="G869" t="s">
        <v>28</v>
      </c>
      <c r="H869" t="s">
        <v>38</v>
      </c>
      <c r="I869" t="s">
        <v>29</v>
      </c>
      <c r="J869">
        <v>28.38</v>
      </c>
      <c r="K869">
        <v>5</v>
      </c>
      <c r="L869">
        <v>7.0949999999999998</v>
      </c>
      <c r="M869">
        <v>148.995</v>
      </c>
      <c r="N869" s="1">
        <v>43530</v>
      </c>
      <c r="O869" s="2">
        <v>0.87291666666666667</v>
      </c>
      <c r="P869" t="s">
        <v>30</v>
      </c>
      <c r="Q869">
        <v>141.9</v>
      </c>
      <c r="R869">
        <v>4.7619047620000003</v>
      </c>
      <c r="S869">
        <v>7.0949999999999998</v>
      </c>
      <c r="T869">
        <v>9.4</v>
      </c>
    </row>
    <row r="870" spans="1:20" x14ac:dyDescent="0.3">
      <c r="A870">
        <v>811</v>
      </c>
      <c r="C870">
        <v>35</v>
      </c>
      <c r="D870">
        <v>1094</v>
      </c>
      <c r="E870" t="s">
        <v>34</v>
      </c>
      <c r="F870" t="s">
        <v>35</v>
      </c>
      <c r="G870" t="s">
        <v>22</v>
      </c>
      <c r="H870" t="s">
        <v>38</v>
      </c>
      <c r="I870" t="s">
        <v>29</v>
      </c>
      <c r="J870">
        <v>50.45</v>
      </c>
      <c r="K870">
        <v>6</v>
      </c>
      <c r="L870">
        <v>15.135</v>
      </c>
      <c r="M870">
        <v>317.83499999999998</v>
      </c>
      <c r="N870" s="1">
        <v>43502</v>
      </c>
      <c r="O870" s="2">
        <v>0.63611111111111107</v>
      </c>
      <c r="P870" t="s">
        <v>32</v>
      </c>
      <c r="Q870">
        <v>302.7</v>
      </c>
      <c r="R870">
        <v>4.7619047620000003</v>
      </c>
      <c r="S870">
        <v>15.135</v>
      </c>
      <c r="T870">
        <v>8.9</v>
      </c>
    </row>
    <row r="871" spans="1:20" x14ac:dyDescent="0.3">
      <c r="A871">
        <v>699</v>
      </c>
      <c r="C871">
        <v>88</v>
      </c>
      <c r="D871">
        <v>1972</v>
      </c>
      <c r="E871" t="s">
        <v>34</v>
      </c>
      <c r="F871" t="s">
        <v>35</v>
      </c>
      <c r="G871" t="s">
        <v>28</v>
      </c>
      <c r="H871" t="s">
        <v>38</v>
      </c>
      <c r="I871" t="s">
        <v>24</v>
      </c>
      <c r="J871">
        <v>99.16</v>
      </c>
      <c r="K871">
        <v>8</v>
      </c>
      <c r="L871">
        <v>39.664000000000001</v>
      </c>
      <c r="M871">
        <v>832.94399999999996</v>
      </c>
      <c r="N871" s="1">
        <v>43493</v>
      </c>
      <c r="O871" s="2">
        <v>0.74097222222222225</v>
      </c>
      <c r="P871" t="s">
        <v>32</v>
      </c>
      <c r="Q871">
        <v>793.28</v>
      </c>
      <c r="R871">
        <v>4.7619047620000003</v>
      </c>
      <c r="S871">
        <v>39.664000000000001</v>
      </c>
      <c r="T871">
        <v>4.2</v>
      </c>
    </row>
    <row r="872" spans="1:20" x14ac:dyDescent="0.3">
      <c r="A872">
        <v>781</v>
      </c>
      <c r="C872">
        <v>84</v>
      </c>
      <c r="D872">
        <v>8059</v>
      </c>
      <c r="E872" t="s">
        <v>26</v>
      </c>
      <c r="F872" t="s">
        <v>27</v>
      </c>
      <c r="G872" t="s">
        <v>28</v>
      </c>
      <c r="H872" t="s">
        <v>38</v>
      </c>
      <c r="I872" t="s">
        <v>37</v>
      </c>
      <c r="J872">
        <v>60.74</v>
      </c>
      <c r="K872">
        <v>7</v>
      </c>
      <c r="L872">
        <v>21.259</v>
      </c>
      <c r="M872">
        <v>446.43900000000002</v>
      </c>
      <c r="N872" s="1">
        <v>43483</v>
      </c>
      <c r="O872" s="2">
        <v>0.68263888888888891</v>
      </c>
      <c r="P872" t="s">
        <v>25</v>
      </c>
      <c r="Q872">
        <v>425.18</v>
      </c>
      <c r="R872">
        <v>4.7619047620000003</v>
      </c>
      <c r="S872">
        <v>21.259</v>
      </c>
      <c r="T872">
        <v>5</v>
      </c>
    </row>
    <row r="873" spans="1:20" x14ac:dyDescent="0.3">
      <c r="A873">
        <v>409</v>
      </c>
      <c r="C873">
        <v>49</v>
      </c>
      <c r="D873">
        <v>6995</v>
      </c>
      <c r="E873" t="s">
        <v>26</v>
      </c>
      <c r="F873" t="s">
        <v>27</v>
      </c>
      <c r="G873" t="s">
        <v>22</v>
      </c>
      <c r="H873" t="s">
        <v>23</v>
      </c>
      <c r="I873" t="s">
        <v>36</v>
      </c>
      <c r="J873">
        <v>47.27</v>
      </c>
      <c r="K873">
        <v>6</v>
      </c>
      <c r="L873">
        <v>14.180999999999999</v>
      </c>
      <c r="M873">
        <v>297.80099999999999</v>
      </c>
      <c r="N873" s="1">
        <v>43501</v>
      </c>
      <c r="O873" s="2">
        <v>0.4284722222222222</v>
      </c>
      <c r="P873" t="s">
        <v>30</v>
      </c>
      <c r="Q873">
        <v>283.62</v>
      </c>
      <c r="R873">
        <v>4.7619047620000003</v>
      </c>
      <c r="S873">
        <v>14.180999999999999</v>
      </c>
      <c r="T873">
        <v>8.8000000000000007</v>
      </c>
    </row>
    <row r="874" spans="1:20" x14ac:dyDescent="0.3">
      <c r="A874">
        <v>725</v>
      </c>
      <c r="C874">
        <v>54</v>
      </c>
      <c r="D874">
        <v>677</v>
      </c>
      <c r="E874" t="s">
        <v>26</v>
      </c>
      <c r="F874" t="s">
        <v>27</v>
      </c>
      <c r="G874" t="s">
        <v>22</v>
      </c>
      <c r="H874" t="s">
        <v>38</v>
      </c>
      <c r="I874" t="s">
        <v>24</v>
      </c>
      <c r="J874">
        <v>85.6</v>
      </c>
      <c r="K874">
        <v>7</v>
      </c>
      <c r="L874">
        <v>29.96</v>
      </c>
      <c r="M874">
        <v>629.16</v>
      </c>
      <c r="N874" s="1">
        <v>43526</v>
      </c>
      <c r="O874" s="2">
        <v>0.57638888888888884</v>
      </c>
      <c r="P874" t="s">
        <v>30</v>
      </c>
      <c r="Q874">
        <v>599.20000000000005</v>
      </c>
      <c r="R874">
        <v>4.7619047620000003</v>
      </c>
      <c r="S874">
        <v>29.96</v>
      </c>
      <c r="T874">
        <v>5.3</v>
      </c>
    </row>
    <row r="875" spans="1:20" x14ac:dyDescent="0.3">
      <c r="A875">
        <v>146</v>
      </c>
      <c r="C875">
        <v>9</v>
      </c>
      <c r="D875">
        <v>5432</v>
      </c>
      <c r="E875" t="s">
        <v>20</v>
      </c>
      <c r="F875" t="s">
        <v>21</v>
      </c>
      <c r="G875" t="s">
        <v>22</v>
      </c>
      <c r="H875" t="s">
        <v>38</v>
      </c>
      <c r="I875" t="s">
        <v>36</v>
      </c>
      <c r="J875">
        <v>35.04</v>
      </c>
      <c r="K875">
        <v>9</v>
      </c>
      <c r="L875">
        <v>15.768000000000001</v>
      </c>
      <c r="M875">
        <v>331.12799999999999</v>
      </c>
      <c r="N875" s="1">
        <v>43505</v>
      </c>
      <c r="O875" s="2">
        <v>0.80347222222222225</v>
      </c>
      <c r="P875" t="s">
        <v>25</v>
      </c>
      <c r="Q875">
        <v>315.36</v>
      </c>
      <c r="R875">
        <v>4.7619047620000003</v>
      </c>
      <c r="S875">
        <v>15.768000000000001</v>
      </c>
      <c r="T875">
        <v>4.5999999999999996</v>
      </c>
    </row>
    <row r="876" spans="1:20" x14ac:dyDescent="0.3">
      <c r="A876">
        <v>377</v>
      </c>
      <c r="C876">
        <v>79</v>
      </c>
      <c r="D876">
        <v>7592</v>
      </c>
      <c r="E876" t="s">
        <v>26</v>
      </c>
      <c r="F876" t="s">
        <v>27</v>
      </c>
      <c r="G876" t="s">
        <v>22</v>
      </c>
      <c r="H876" t="s">
        <v>23</v>
      </c>
      <c r="I876" t="s">
        <v>29</v>
      </c>
      <c r="J876">
        <v>44.84</v>
      </c>
      <c r="K876">
        <v>9</v>
      </c>
      <c r="L876">
        <v>20.178000000000001</v>
      </c>
      <c r="M876">
        <v>423.738</v>
      </c>
      <c r="N876" s="1">
        <v>43479</v>
      </c>
      <c r="O876" s="2">
        <v>0.58333333333333337</v>
      </c>
      <c r="P876" t="s">
        <v>32</v>
      </c>
      <c r="Q876">
        <v>403.56</v>
      </c>
      <c r="R876">
        <v>4.7619047620000003</v>
      </c>
      <c r="S876">
        <v>20.178000000000001</v>
      </c>
      <c r="T876">
        <v>7.5</v>
      </c>
    </row>
    <row r="877" spans="1:20" x14ac:dyDescent="0.3">
      <c r="A877">
        <v>509</v>
      </c>
      <c r="C877">
        <v>10</v>
      </c>
      <c r="D877">
        <v>516</v>
      </c>
      <c r="E877" t="s">
        <v>34</v>
      </c>
      <c r="F877" t="s">
        <v>35</v>
      </c>
      <c r="G877" t="s">
        <v>28</v>
      </c>
      <c r="H877" t="s">
        <v>38</v>
      </c>
      <c r="I877" t="s">
        <v>31</v>
      </c>
      <c r="J877">
        <v>45.97</v>
      </c>
      <c r="K877">
        <v>4</v>
      </c>
      <c r="L877">
        <v>9.1940000000000008</v>
      </c>
      <c r="M877">
        <v>193.07400000000001</v>
      </c>
      <c r="N877" s="1">
        <v>43505</v>
      </c>
      <c r="O877" s="2">
        <v>0.50138888888888888</v>
      </c>
      <c r="P877" t="s">
        <v>25</v>
      </c>
      <c r="Q877">
        <v>183.88</v>
      </c>
      <c r="R877">
        <v>4.7619047620000003</v>
      </c>
      <c r="S877">
        <v>9.1940000000000008</v>
      </c>
      <c r="T877">
        <v>5.0999999999999996</v>
      </c>
    </row>
    <row r="878" spans="1:20" x14ac:dyDescent="0.3">
      <c r="A878">
        <v>595</v>
      </c>
      <c r="C878">
        <v>94</v>
      </c>
      <c r="D878">
        <v>9924</v>
      </c>
      <c r="E878" t="s">
        <v>20</v>
      </c>
      <c r="F878" t="s">
        <v>21</v>
      </c>
      <c r="G878" t="s">
        <v>22</v>
      </c>
      <c r="H878" t="s">
        <v>23</v>
      </c>
      <c r="I878" t="s">
        <v>24</v>
      </c>
      <c r="J878">
        <v>27.73</v>
      </c>
      <c r="K878">
        <v>5</v>
      </c>
      <c r="L878">
        <v>6.9325000000000001</v>
      </c>
      <c r="M878">
        <v>145.58250000000001</v>
      </c>
      <c r="N878" s="1">
        <v>43550</v>
      </c>
      <c r="O878" s="2">
        <v>0.84791666666666665</v>
      </c>
      <c r="P878" t="s">
        <v>32</v>
      </c>
      <c r="Q878">
        <v>138.65</v>
      </c>
      <c r="R878">
        <v>4.7619047620000003</v>
      </c>
      <c r="S878">
        <v>6.9325000000000001</v>
      </c>
      <c r="T878">
        <v>4.2</v>
      </c>
    </row>
    <row r="879" spans="1:20" x14ac:dyDescent="0.3">
      <c r="A879">
        <v>865</v>
      </c>
      <c r="C879">
        <v>41</v>
      </c>
      <c r="D879">
        <v>9075</v>
      </c>
      <c r="E879" t="s">
        <v>20</v>
      </c>
      <c r="F879" t="s">
        <v>21</v>
      </c>
      <c r="G879" t="s">
        <v>28</v>
      </c>
      <c r="H879" t="s">
        <v>38</v>
      </c>
      <c r="I879" t="s">
        <v>36</v>
      </c>
      <c r="J879">
        <v>11.53</v>
      </c>
      <c r="K879">
        <v>7</v>
      </c>
      <c r="L879">
        <v>4.0354999999999999</v>
      </c>
      <c r="M879">
        <v>84.745500000000007</v>
      </c>
      <c r="N879" s="1">
        <v>43493</v>
      </c>
      <c r="O879" s="2">
        <v>0.73263888888888884</v>
      </c>
      <c r="P879" t="s">
        <v>30</v>
      </c>
      <c r="Q879">
        <v>80.709999999999994</v>
      </c>
      <c r="R879">
        <v>4.7619047620000003</v>
      </c>
      <c r="S879">
        <v>4.0354999999999999</v>
      </c>
      <c r="T879">
        <v>8.1</v>
      </c>
    </row>
    <row r="880" spans="1:20" x14ac:dyDescent="0.3">
      <c r="A880">
        <v>545</v>
      </c>
      <c r="C880">
        <v>7</v>
      </c>
      <c r="D880">
        <v>8534</v>
      </c>
      <c r="E880" t="s">
        <v>26</v>
      </c>
      <c r="F880" t="s">
        <v>27</v>
      </c>
      <c r="G880" t="s">
        <v>28</v>
      </c>
      <c r="H880" t="s">
        <v>23</v>
      </c>
      <c r="I880" t="s">
        <v>24</v>
      </c>
      <c r="J880">
        <v>58.32</v>
      </c>
      <c r="K880">
        <v>2</v>
      </c>
      <c r="L880">
        <v>5.8319999999999999</v>
      </c>
      <c r="M880">
        <v>122.47199999999999</v>
      </c>
      <c r="N880" s="1">
        <v>43510</v>
      </c>
      <c r="O880" s="2">
        <v>0.52916666666666667</v>
      </c>
      <c r="P880" t="s">
        <v>25</v>
      </c>
      <c r="Q880">
        <v>116.64</v>
      </c>
      <c r="R880">
        <v>4.7619047620000003</v>
      </c>
      <c r="S880">
        <v>5.8319999999999999</v>
      </c>
      <c r="T880">
        <v>6</v>
      </c>
    </row>
    <row r="881" spans="1:20" x14ac:dyDescent="0.3">
      <c r="A881">
        <v>118</v>
      </c>
      <c r="C881">
        <v>62</v>
      </c>
      <c r="D881">
        <v>1812</v>
      </c>
      <c r="E881" t="s">
        <v>26</v>
      </c>
      <c r="F881" t="s">
        <v>27</v>
      </c>
      <c r="G881" t="s">
        <v>22</v>
      </c>
      <c r="H881" t="s">
        <v>23</v>
      </c>
      <c r="I881" t="s">
        <v>31</v>
      </c>
      <c r="J881">
        <v>78.38</v>
      </c>
      <c r="K881">
        <v>4</v>
      </c>
      <c r="L881">
        <v>15.676</v>
      </c>
      <c r="M881">
        <v>329.19600000000003</v>
      </c>
      <c r="N881" s="1">
        <v>43548</v>
      </c>
      <c r="O881" s="2">
        <v>0.74722222222222223</v>
      </c>
      <c r="P881" t="s">
        <v>30</v>
      </c>
      <c r="Q881">
        <v>313.52</v>
      </c>
      <c r="R881">
        <v>4.7619047620000003</v>
      </c>
      <c r="S881">
        <v>15.676</v>
      </c>
      <c r="T881">
        <v>7.9</v>
      </c>
    </row>
    <row r="882" spans="1:20" x14ac:dyDescent="0.3">
      <c r="A882">
        <v>450</v>
      </c>
      <c r="C882">
        <v>42</v>
      </c>
      <c r="D882">
        <v>3339</v>
      </c>
      <c r="E882" t="s">
        <v>26</v>
      </c>
      <c r="F882" t="s">
        <v>27</v>
      </c>
      <c r="G882" t="s">
        <v>28</v>
      </c>
      <c r="H882" t="s">
        <v>38</v>
      </c>
      <c r="I882" t="s">
        <v>24</v>
      </c>
      <c r="J882">
        <v>84.61</v>
      </c>
      <c r="K882">
        <v>10</v>
      </c>
      <c r="L882">
        <v>42.305</v>
      </c>
      <c r="M882">
        <v>888.40499999999997</v>
      </c>
      <c r="N882" s="1">
        <v>43505</v>
      </c>
      <c r="O882" s="2">
        <v>0.79027777777777775</v>
      </c>
      <c r="P882" t="s">
        <v>32</v>
      </c>
      <c r="Q882">
        <v>846.1</v>
      </c>
      <c r="R882">
        <v>4.7619047620000003</v>
      </c>
      <c r="S882">
        <v>42.305</v>
      </c>
      <c r="T882">
        <v>8.8000000000000007</v>
      </c>
    </row>
    <row r="883" spans="1:20" x14ac:dyDescent="0.3">
      <c r="A883">
        <v>851</v>
      </c>
      <c r="C883">
        <v>98</v>
      </c>
      <c r="D883">
        <v>3555</v>
      </c>
      <c r="E883" t="s">
        <v>34</v>
      </c>
      <c r="F883" t="s">
        <v>35</v>
      </c>
      <c r="G883" t="s">
        <v>28</v>
      </c>
      <c r="H883" t="s">
        <v>23</v>
      </c>
      <c r="I883" t="s">
        <v>24</v>
      </c>
      <c r="J883">
        <v>82.88</v>
      </c>
      <c r="K883">
        <v>5</v>
      </c>
      <c r="L883">
        <v>20.72</v>
      </c>
      <c r="M883">
        <v>435.12</v>
      </c>
      <c r="N883" s="1">
        <v>43548</v>
      </c>
      <c r="O883" s="2">
        <v>0.58888888888888891</v>
      </c>
      <c r="P883" t="s">
        <v>32</v>
      </c>
      <c r="Q883">
        <v>414.4</v>
      </c>
      <c r="R883">
        <v>4.7619047620000003</v>
      </c>
      <c r="S883">
        <v>20.72</v>
      </c>
      <c r="T883">
        <v>6.6</v>
      </c>
    </row>
    <row r="884" spans="1:20" x14ac:dyDescent="0.3">
      <c r="A884">
        <v>186</v>
      </c>
      <c r="C884">
        <v>71</v>
      </c>
      <c r="D884">
        <v>5196</v>
      </c>
      <c r="E884" t="s">
        <v>20</v>
      </c>
      <c r="F884" t="s">
        <v>21</v>
      </c>
      <c r="G884" t="s">
        <v>22</v>
      </c>
      <c r="H884" t="s">
        <v>23</v>
      </c>
      <c r="I884" t="s">
        <v>36</v>
      </c>
      <c r="J884">
        <v>79.540000000000006</v>
      </c>
      <c r="K884">
        <v>2</v>
      </c>
      <c r="L884">
        <v>7.9539999999999997</v>
      </c>
      <c r="M884">
        <v>167.03399999999999</v>
      </c>
      <c r="N884" s="1">
        <v>43551</v>
      </c>
      <c r="O884" s="2">
        <v>0.6875</v>
      </c>
      <c r="P884" t="s">
        <v>25</v>
      </c>
      <c r="Q884">
        <v>159.08000000000001</v>
      </c>
      <c r="R884">
        <v>4.7619047620000003</v>
      </c>
      <c r="S884">
        <v>7.9539999999999997</v>
      </c>
      <c r="T884">
        <v>6.2</v>
      </c>
    </row>
    <row r="885" spans="1:20" x14ac:dyDescent="0.3">
      <c r="A885">
        <v>624</v>
      </c>
      <c r="C885">
        <v>1</v>
      </c>
      <c r="D885">
        <v>8356</v>
      </c>
      <c r="E885" t="s">
        <v>34</v>
      </c>
      <c r="F885" t="s">
        <v>35</v>
      </c>
      <c r="G885" t="s">
        <v>28</v>
      </c>
      <c r="H885" t="s">
        <v>23</v>
      </c>
      <c r="I885" t="s">
        <v>31</v>
      </c>
      <c r="J885">
        <v>49.01</v>
      </c>
      <c r="K885">
        <v>10</v>
      </c>
      <c r="L885">
        <v>24.504999999999999</v>
      </c>
      <c r="M885">
        <v>514.60500000000002</v>
      </c>
      <c r="N885" s="1">
        <v>43492</v>
      </c>
      <c r="O885" s="2">
        <v>0.44722222222222224</v>
      </c>
      <c r="P885" t="s">
        <v>32</v>
      </c>
      <c r="Q885">
        <v>490.1</v>
      </c>
      <c r="R885">
        <v>4.7619047620000003</v>
      </c>
      <c r="S885">
        <v>24.504999999999999</v>
      </c>
      <c r="T885">
        <v>4.2</v>
      </c>
    </row>
    <row r="886" spans="1:20" x14ac:dyDescent="0.3">
      <c r="A886">
        <v>313</v>
      </c>
      <c r="C886">
        <v>66</v>
      </c>
      <c r="D886">
        <v>9943</v>
      </c>
      <c r="E886" t="s">
        <v>34</v>
      </c>
      <c r="F886" t="s">
        <v>35</v>
      </c>
      <c r="G886" t="s">
        <v>22</v>
      </c>
      <c r="H886" t="s">
        <v>23</v>
      </c>
      <c r="I886" t="s">
        <v>36</v>
      </c>
      <c r="J886">
        <v>29.15</v>
      </c>
      <c r="K886">
        <v>3</v>
      </c>
      <c r="L886">
        <v>4.3724999999999996</v>
      </c>
      <c r="M886">
        <v>91.822500000000005</v>
      </c>
      <c r="N886" s="1">
        <v>43551</v>
      </c>
      <c r="O886" s="2">
        <v>0.85347222222222219</v>
      </c>
      <c r="P886" t="s">
        <v>32</v>
      </c>
      <c r="Q886">
        <v>87.45</v>
      </c>
      <c r="R886">
        <v>4.7619047620000003</v>
      </c>
      <c r="S886">
        <v>4.3724999999999996</v>
      </c>
      <c r="T886">
        <v>7.3</v>
      </c>
    </row>
    <row r="887" spans="1:20" x14ac:dyDescent="0.3">
      <c r="A887">
        <v>151</v>
      </c>
      <c r="C887">
        <v>27</v>
      </c>
      <c r="D887">
        <v>8496</v>
      </c>
      <c r="E887" t="s">
        <v>26</v>
      </c>
      <c r="F887" t="s">
        <v>27</v>
      </c>
      <c r="G887" t="s">
        <v>28</v>
      </c>
      <c r="H887" t="s">
        <v>23</v>
      </c>
      <c r="I887" t="s">
        <v>29</v>
      </c>
      <c r="J887">
        <v>56.13</v>
      </c>
      <c r="K887">
        <v>4</v>
      </c>
      <c r="L887">
        <v>11.226000000000001</v>
      </c>
      <c r="M887">
        <v>235.74600000000001</v>
      </c>
      <c r="N887" s="1">
        <v>43484</v>
      </c>
      <c r="O887" s="2">
        <v>0.48819444444444443</v>
      </c>
      <c r="P887" t="s">
        <v>25</v>
      </c>
      <c r="Q887">
        <v>224.52</v>
      </c>
      <c r="R887">
        <v>4.7619047620000003</v>
      </c>
      <c r="S887">
        <v>11.226000000000001</v>
      </c>
      <c r="T887">
        <v>8.6</v>
      </c>
    </row>
    <row r="888" spans="1:20" x14ac:dyDescent="0.3">
      <c r="A888">
        <v>453</v>
      </c>
      <c r="C888">
        <v>33</v>
      </c>
      <c r="D888">
        <v>6436</v>
      </c>
      <c r="E888" t="s">
        <v>20</v>
      </c>
      <c r="F888" t="s">
        <v>21</v>
      </c>
      <c r="G888" t="s">
        <v>28</v>
      </c>
      <c r="H888" t="s">
        <v>23</v>
      </c>
      <c r="I888" t="s">
        <v>31</v>
      </c>
      <c r="J888">
        <v>93.12</v>
      </c>
      <c r="K888">
        <v>8</v>
      </c>
      <c r="L888">
        <v>37.247999999999998</v>
      </c>
      <c r="M888">
        <v>782.20799999999997</v>
      </c>
      <c r="N888" s="1">
        <v>43503</v>
      </c>
      <c r="O888" s="2">
        <v>0.42291666666666666</v>
      </c>
      <c r="P888" t="s">
        <v>30</v>
      </c>
      <c r="Q888">
        <v>744.96</v>
      </c>
      <c r="R888">
        <v>4.7619047620000003</v>
      </c>
      <c r="S888">
        <v>37.247999999999998</v>
      </c>
      <c r="T888">
        <v>6.8</v>
      </c>
    </row>
    <row r="889" spans="1:20" x14ac:dyDescent="0.3">
      <c r="A889">
        <v>522</v>
      </c>
      <c r="C889">
        <v>57</v>
      </c>
      <c r="D889">
        <v>8364</v>
      </c>
      <c r="E889" t="s">
        <v>20</v>
      </c>
      <c r="F889" t="s">
        <v>21</v>
      </c>
      <c r="G889" t="s">
        <v>22</v>
      </c>
      <c r="H889" t="s">
        <v>38</v>
      </c>
      <c r="I889" t="s">
        <v>37</v>
      </c>
      <c r="J889">
        <v>51.34</v>
      </c>
      <c r="K889">
        <v>8</v>
      </c>
      <c r="L889">
        <v>20.536000000000001</v>
      </c>
      <c r="M889">
        <v>431.25599999999997</v>
      </c>
      <c r="N889" s="1">
        <v>43496</v>
      </c>
      <c r="O889" s="2">
        <v>0.41666666666666669</v>
      </c>
      <c r="P889" t="s">
        <v>25</v>
      </c>
      <c r="Q889">
        <v>410.72</v>
      </c>
      <c r="R889">
        <v>4.7619047620000003</v>
      </c>
      <c r="S889">
        <v>20.536000000000001</v>
      </c>
      <c r="T889">
        <v>7.6</v>
      </c>
    </row>
    <row r="890" spans="1:20" x14ac:dyDescent="0.3">
      <c r="A890">
        <v>459</v>
      </c>
      <c r="C890">
        <v>45</v>
      </c>
      <c r="D890">
        <v>2396</v>
      </c>
      <c r="E890" t="s">
        <v>20</v>
      </c>
      <c r="F890" t="s">
        <v>21</v>
      </c>
      <c r="G890" t="s">
        <v>22</v>
      </c>
      <c r="H890" t="s">
        <v>23</v>
      </c>
      <c r="I890" t="s">
        <v>36</v>
      </c>
      <c r="J890">
        <v>99.6</v>
      </c>
      <c r="K890">
        <v>3</v>
      </c>
      <c r="L890">
        <v>14.94</v>
      </c>
      <c r="M890">
        <v>313.74</v>
      </c>
      <c r="N890" s="1">
        <v>43521</v>
      </c>
      <c r="O890" s="2">
        <v>0.78125</v>
      </c>
      <c r="P890" t="s">
        <v>30</v>
      </c>
      <c r="Q890">
        <v>298.8</v>
      </c>
      <c r="R890">
        <v>4.7619047620000003</v>
      </c>
      <c r="S890">
        <v>14.94</v>
      </c>
      <c r="T890">
        <v>5.8</v>
      </c>
    </row>
    <row r="891" spans="1:20" x14ac:dyDescent="0.3">
      <c r="A891">
        <v>717</v>
      </c>
      <c r="C891">
        <v>96</v>
      </c>
      <c r="D891">
        <v>4189</v>
      </c>
      <c r="E891" t="s">
        <v>26</v>
      </c>
      <c r="F891" t="s">
        <v>27</v>
      </c>
      <c r="G891" t="s">
        <v>28</v>
      </c>
      <c r="H891" t="s">
        <v>23</v>
      </c>
      <c r="I891" t="s">
        <v>29</v>
      </c>
      <c r="J891">
        <v>35.49</v>
      </c>
      <c r="K891">
        <v>6</v>
      </c>
      <c r="L891">
        <v>10.647</v>
      </c>
      <c r="M891">
        <v>223.58699999999999</v>
      </c>
      <c r="N891" s="1">
        <v>43498</v>
      </c>
      <c r="O891" s="2">
        <v>0.52777777777777779</v>
      </c>
      <c r="P891" t="s">
        <v>30</v>
      </c>
      <c r="Q891">
        <v>212.94</v>
      </c>
      <c r="R891">
        <v>4.7619047620000003</v>
      </c>
      <c r="S891">
        <v>10.647</v>
      </c>
      <c r="T891">
        <v>4.0999999999999996</v>
      </c>
    </row>
    <row r="892" spans="1:20" x14ac:dyDescent="0.3">
      <c r="A892">
        <v>722</v>
      </c>
      <c r="C892">
        <v>13</v>
      </c>
      <c r="D892">
        <v>2115</v>
      </c>
      <c r="E892" t="s">
        <v>26</v>
      </c>
      <c r="F892" t="s">
        <v>27</v>
      </c>
      <c r="G892" t="s">
        <v>22</v>
      </c>
      <c r="H892" t="s">
        <v>38</v>
      </c>
      <c r="I892" t="s">
        <v>33</v>
      </c>
      <c r="J892">
        <v>42.85</v>
      </c>
      <c r="K892">
        <v>1</v>
      </c>
      <c r="L892">
        <v>2.1425000000000001</v>
      </c>
      <c r="M892">
        <v>44.9925</v>
      </c>
      <c r="N892" s="1">
        <v>43538</v>
      </c>
      <c r="O892" s="2">
        <v>0.65</v>
      </c>
      <c r="P892" t="s">
        <v>32</v>
      </c>
      <c r="Q892">
        <v>42.85</v>
      </c>
      <c r="R892">
        <v>4.7619047620000003</v>
      </c>
      <c r="S892">
        <v>2.1425000000000001</v>
      </c>
      <c r="T892">
        <v>9.3000000000000007</v>
      </c>
    </row>
    <row r="893" spans="1:20" x14ac:dyDescent="0.3">
      <c r="A893">
        <v>749</v>
      </c>
      <c r="C893">
        <v>81</v>
      </c>
      <c r="D893">
        <v>8133</v>
      </c>
      <c r="E893" t="s">
        <v>20</v>
      </c>
      <c r="F893" t="s">
        <v>21</v>
      </c>
      <c r="G893" t="s">
        <v>28</v>
      </c>
      <c r="H893" t="s">
        <v>23</v>
      </c>
      <c r="I893" t="s">
        <v>37</v>
      </c>
      <c r="J893">
        <v>94.67</v>
      </c>
      <c r="K893">
        <v>4</v>
      </c>
      <c r="L893">
        <v>18.934000000000001</v>
      </c>
      <c r="M893">
        <v>397.61399999999998</v>
      </c>
      <c r="N893" s="1">
        <v>43535</v>
      </c>
      <c r="O893" s="2">
        <v>0.50277777777777777</v>
      </c>
      <c r="P893" t="s">
        <v>30</v>
      </c>
      <c r="Q893">
        <v>378.68</v>
      </c>
      <c r="R893">
        <v>4.7619047620000003</v>
      </c>
      <c r="S893">
        <v>18.934000000000001</v>
      </c>
      <c r="T893">
        <v>6.8</v>
      </c>
    </row>
    <row r="894" spans="1:20" x14ac:dyDescent="0.3">
      <c r="A894">
        <v>777</v>
      </c>
      <c r="C894">
        <v>67</v>
      </c>
      <c r="D894">
        <v>2495</v>
      </c>
      <c r="E894" t="s">
        <v>34</v>
      </c>
      <c r="F894" t="s">
        <v>35</v>
      </c>
      <c r="G894" t="s">
        <v>28</v>
      </c>
      <c r="H894" t="s">
        <v>38</v>
      </c>
      <c r="I894" t="s">
        <v>31</v>
      </c>
      <c r="J894">
        <v>68.97</v>
      </c>
      <c r="K894">
        <v>3</v>
      </c>
      <c r="L894">
        <v>10.345499999999999</v>
      </c>
      <c r="M894">
        <v>217.25550000000001</v>
      </c>
      <c r="N894" s="1">
        <v>43518</v>
      </c>
      <c r="O894" s="2">
        <v>0.47638888888888886</v>
      </c>
      <c r="P894" t="s">
        <v>25</v>
      </c>
      <c r="Q894">
        <v>206.91</v>
      </c>
      <c r="R894">
        <v>4.7619047620000003</v>
      </c>
      <c r="S894">
        <v>10.345499999999999</v>
      </c>
      <c r="T894">
        <v>8.6999999999999993</v>
      </c>
    </row>
    <row r="895" spans="1:20" x14ac:dyDescent="0.3">
      <c r="A895">
        <v>636</v>
      </c>
      <c r="C895">
        <v>98</v>
      </c>
      <c r="D895">
        <v>3364</v>
      </c>
      <c r="E895" t="s">
        <v>34</v>
      </c>
      <c r="F895" t="s">
        <v>35</v>
      </c>
      <c r="G895" t="s">
        <v>22</v>
      </c>
      <c r="H895" t="s">
        <v>23</v>
      </c>
      <c r="I895" t="s">
        <v>29</v>
      </c>
      <c r="J895">
        <v>26.26</v>
      </c>
      <c r="K895">
        <v>3</v>
      </c>
      <c r="L895">
        <v>3.9390000000000001</v>
      </c>
      <c r="M895">
        <v>82.718999999999994</v>
      </c>
      <c r="N895" s="1">
        <v>43526</v>
      </c>
      <c r="O895" s="2">
        <v>0.52500000000000002</v>
      </c>
      <c r="P895" t="s">
        <v>25</v>
      </c>
      <c r="Q895">
        <v>78.78</v>
      </c>
      <c r="R895">
        <v>4.7619047620000003</v>
      </c>
      <c r="S895">
        <v>3.9390000000000001</v>
      </c>
      <c r="T895">
        <v>6.3</v>
      </c>
    </row>
    <row r="896" spans="1:20" x14ac:dyDescent="0.3">
      <c r="A896">
        <v>246</v>
      </c>
      <c r="C896">
        <v>55</v>
      </c>
      <c r="D896">
        <v>6923</v>
      </c>
      <c r="E896" t="s">
        <v>26</v>
      </c>
      <c r="F896" t="s">
        <v>27</v>
      </c>
      <c r="G896" t="s">
        <v>22</v>
      </c>
      <c r="H896" t="s">
        <v>23</v>
      </c>
      <c r="I896" t="s">
        <v>31</v>
      </c>
      <c r="J896">
        <v>35.79</v>
      </c>
      <c r="K896">
        <v>9</v>
      </c>
      <c r="L896">
        <v>16.105499999999999</v>
      </c>
      <c r="M896">
        <v>338.21550000000002</v>
      </c>
      <c r="N896" s="1">
        <v>43534</v>
      </c>
      <c r="O896" s="2">
        <v>0.62916666666666665</v>
      </c>
      <c r="P896" t="s">
        <v>32</v>
      </c>
      <c r="Q896">
        <v>322.11</v>
      </c>
      <c r="R896">
        <v>4.7619047620000003</v>
      </c>
      <c r="S896">
        <v>16.105499999999999</v>
      </c>
      <c r="T896">
        <v>5.0999999999999996</v>
      </c>
    </row>
    <row r="897" spans="1:20" x14ac:dyDescent="0.3">
      <c r="A897">
        <v>181</v>
      </c>
      <c r="C897">
        <v>82</v>
      </c>
      <c r="D897">
        <v>6255</v>
      </c>
      <c r="E897" t="s">
        <v>34</v>
      </c>
      <c r="F897" t="s">
        <v>35</v>
      </c>
      <c r="G897" t="s">
        <v>28</v>
      </c>
      <c r="H897" t="s">
        <v>23</v>
      </c>
      <c r="I897" t="s">
        <v>31</v>
      </c>
      <c r="J897">
        <v>16.37</v>
      </c>
      <c r="K897">
        <v>6</v>
      </c>
      <c r="L897">
        <v>4.9109999999999996</v>
      </c>
      <c r="M897">
        <v>103.131</v>
      </c>
      <c r="N897" s="1">
        <v>43504</v>
      </c>
      <c r="O897" s="2">
        <v>0.45694444444444443</v>
      </c>
      <c r="P897" t="s">
        <v>30</v>
      </c>
      <c r="Q897">
        <v>98.22</v>
      </c>
      <c r="R897">
        <v>4.7619047620000003</v>
      </c>
      <c r="S897">
        <v>4.9109999999999996</v>
      </c>
      <c r="T897">
        <v>7</v>
      </c>
    </row>
    <row r="898" spans="1:20" x14ac:dyDescent="0.3">
      <c r="A898">
        <v>838</v>
      </c>
      <c r="C898">
        <v>2</v>
      </c>
      <c r="D898">
        <v>1821</v>
      </c>
      <c r="E898" t="s">
        <v>26</v>
      </c>
      <c r="F898" t="s">
        <v>27</v>
      </c>
      <c r="G898" t="s">
        <v>22</v>
      </c>
      <c r="H898" t="s">
        <v>23</v>
      </c>
      <c r="I898" t="s">
        <v>31</v>
      </c>
      <c r="J898">
        <v>12.73</v>
      </c>
      <c r="K898">
        <v>2</v>
      </c>
      <c r="L898">
        <v>1.2729999999999999</v>
      </c>
      <c r="M898">
        <v>26.733000000000001</v>
      </c>
      <c r="N898" s="1">
        <v>43518</v>
      </c>
      <c r="O898" s="2">
        <v>0.50694444444444442</v>
      </c>
      <c r="P898" t="s">
        <v>32</v>
      </c>
      <c r="Q898">
        <v>25.46</v>
      </c>
      <c r="R898">
        <v>4.7619047620000003</v>
      </c>
      <c r="S898">
        <v>1.2729999999999999</v>
      </c>
      <c r="T898">
        <v>5.2</v>
      </c>
    </row>
    <row r="899" spans="1:20" x14ac:dyDescent="0.3">
      <c r="A899">
        <v>887</v>
      </c>
      <c r="C899">
        <v>42</v>
      </c>
      <c r="D899">
        <v>517</v>
      </c>
      <c r="E899" t="s">
        <v>26</v>
      </c>
      <c r="F899" t="s">
        <v>27</v>
      </c>
      <c r="G899" t="s">
        <v>28</v>
      </c>
      <c r="H899" t="s">
        <v>23</v>
      </c>
      <c r="I899" t="s">
        <v>33</v>
      </c>
      <c r="J899">
        <v>83.14</v>
      </c>
      <c r="K899">
        <v>7</v>
      </c>
      <c r="L899">
        <v>29.099</v>
      </c>
      <c r="M899">
        <v>611.07899999999995</v>
      </c>
      <c r="N899" s="1">
        <v>43475</v>
      </c>
      <c r="O899" s="2">
        <v>0.43819444444444444</v>
      </c>
      <c r="P899" t="s">
        <v>32</v>
      </c>
      <c r="Q899">
        <v>581.98</v>
      </c>
      <c r="R899">
        <v>4.7619047620000003</v>
      </c>
      <c r="S899">
        <v>29.099</v>
      </c>
      <c r="T899">
        <v>6.6</v>
      </c>
    </row>
    <row r="900" spans="1:20" x14ac:dyDescent="0.3">
      <c r="A900">
        <v>457</v>
      </c>
      <c r="C900">
        <v>12</v>
      </c>
      <c r="D900">
        <v>244</v>
      </c>
      <c r="E900" t="s">
        <v>26</v>
      </c>
      <c r="F900" t="s">
        <v>27</v>
      </c>
      <c r="G900" t="s">
        <v>22</v>
      </c>
      <c r="H900" t="s">
        <v>23</v>
      </c>
      <c r="I900" t="s">
        <v>33</v>
      </c>
      <c r="J900">
        <v>35.22</v>
      </c>
      <c r="K900">
        <v>6</v>
      </c>
      <c r="L900">
        <v>10.566000000000001</v>
      </c>
      <c r="M900">
        <v>221.886</v>
      </c>
      <c r="N900" s="1">
        <v>43538</v>
      </c>
      <c r="O900" s="2">
        <v>0.5756944444444444</v>
      </c>
      <c r="P900" t="s">
        <v>25</v>
      </c>
      <c r="Q900">
        <v>211.32</v>
      </c>
      <c r="R900">
        <v>4.7619047620000003</v>
      </c>
      <c r="S900">
        <v>10.566000000000001</v>
      </c>
      <c r="T900">
        <v>6.5</v>
      </c>
    </row>
    <row r="901" spans="1:20" x14ac:dyDescent="0.3">
      <c r="A901">
        <v>226</v>
      </c>
      <c r="C901">
        <v>34</v>
      </c>
      <c r="D901">
        <v>34</v>
      </c>
      <c r="E901" t="s">
        <v>34</v>
      </c>
      <c r="F901" t="s">
        <v>35</v>
      </c>
      <c r="G901" t="s">
        <v>28</v>
      </c>
      <c r="H901" t="s">
        <v>23</v>
      </c>
      <c r="I901" t="s">
        <v>29</v>
      </c>
      <c r="J901">
        <v>13.78</v>
      </c>
      <c r="K901">
        <v>4</v>
      </c>
      <c r="L901">
        <v>2.7559999999999998</v>
      </c>
      <c r="M901">
        <v>57.875999999999998</v>
      </c>
      <c r="N901" s="1">
        <v>43475</v>
      </c>
      <c r="O901" s="2">
        <v>0.46527777777777779</v>
      </c>
      <c r="P901" t="s">
        <v>25</v>
      </c>
      <c r="Q901">
        <v>55.12</v>
      </c>
      <c r="R901">
        <v>4.7619047620000003</v>
      </c>
      <c r="S901">
        <v>2.7559999999999998</v>
      </c>
      <c r="T901">
        <v>9</v>
      </c>
    </row>
    <row r="902" spans="1:20" x14ac:dyDescent="0.3">
      <c r="A902">
        <v>321</v>
      </c>
      <c r="C902">
        <v>49</v>
      </c>
      <c r="D902">
        <v>7382</v>
      </c>
      <c r="E902" t="s">
        <v>34</v>
      </c>
      <c r="F902" t="s">
        <v>35</v>
      </c>
      <c r="G902" t="s">
        <v>22</v>
      </c>
      <c r="H902" t="s">
        <v>38</v>
      </c>
      <c r="I902" t="s">
        <v>33</v>
      </c>
      <c r="J902">
        <v>88.31</v>
      </c>
      <c r="K902">
        <v>1</v>
      </c>
      <c r="L902">
        <v>4.4154999999999998</v>
      </c>
      <c r="M902">
        <v>92.725499999999997</v>
      </c>
      <c r="N902" s="1">
        <v>43511</v>
      </c>
      <c r="O902" s="2">
        <v>0.73472222222222228</v>
      </c>
      <c r="P902" t="s">
        <v>32</v>
      </c>
      <c r="Q902">
        <v>88.31</v>
      </c>
      <c r="R902">
        <v>4.7619047620000003</v>
      </c>
      <c r="S902">
        <v>4.4154999999999998</v>
      </c>
      <c r="T902">
        <v>5.2</v>
      </c>
    </row>
    <row r="903" spans="1:20" x14ac:dyDescent="0.3">
      <c r="A903">
        <v>397</v>
      </c>
      <c r="C903">
        <v>25</v>
      </c>
      <c r="D903">
        <v>8725</v>
      </c>
      <c r="E903" t="s">
        <v>20</v>
      </c>
      <c r="F903" t="s">
        <v>21</v>
      </c>
      <c r="G903" t="s">
        <v>22</v>
      </c>
      <c r="H903" t="s">
        <v>23</v>
      </c>
      <c r="I903" t="s">
        <v>24</v>
      </c>
      <c r="J903">
        <v>39.619999999999997</v>
      </c>
      <c r="K903">
        <v>9</v>
      </c>
      <c r="L903">
        <v>17.829000000000001</v>
      </c>
      <c r="M903">
        <v>374.40899999999999</v>
      </c>
      <c r="N903" s="1">
        <v>43478</v>
      </c>
      <c r="O903" s="2">
        <v>0.74583333333333335</v>
      </c>
      <c r="P903" t="s">
        <v>32</v>
      </c>
      <c r="Q903">
        <v>356.58</v>
      </c>
      <c r="R903">
        <v>4.7619047620000003</v>
      </c>
      <c r="S903">
        <v>17.829000000000001</v>
      </c>
      <c r="T903">
        <v>6.8</v>
      </c>
    </row>
    <row r="904" spans="1:20" x14ac:dyDescent="0.3">
      <c r="A904">
        <v>431</v>
      </c>
      <c r="C904">
        <v>66</v>
      </c>
      <c r="D904">
        <v>2305</v>
      </c>
      <c r="E904" t="s">
        <v>34</v>
      </c>
      <c r="F904" t="s">
        <v>35</v>
      </c>
      <c r="G904" t="s">
        <v>28</v>
      </c>
      <c r="H904" t="s">
        <v>23</v>
      </c>
      <c r="I904" t="s">
        <v>29</v>
      </c>
      <c r="J904">
        <v>88.25</v>
      </c>
      <c r="K904">
        <v>9</v>
      </c>
      <c r="L904">
        <v>39.712499999999999</v>
      </c>
      <c r="M904">
        <v>833.96249999999998</v>
      </c>
      <c r="N904" s="1">
        <v>43511</v>
      </c>
      <c r="O904" s="2">
        <v>0.86875000000000002</v>
      </c>
      <c r="P904" t="s">
        <v>32</v>
      </c>
      <c r="Q904">
        <v>794.25</v>
      </c>
      <c r="R904">
        <v>4.7619047620000003</v>
      </c>
      <c r="S904">
        <v>39.712499999999999</v>
      </c>
      <c r="T904">
        <v>7.6</v>
      </c>
    </row>
    <row r="905" spans="1:20" x14ac:dyDescent="0.3">
      <c r="A905">
        <v>825</v>
      </c>
      <c r="C905">
        <v>94</v>
      </c>
      <c r="D905">
        <v>5922</v>
      </c>
      <c r="E905" t="s">
        <v>34</v>
      </c>
      <c r="F905" t="s">
        <v>35</v>
      </c>
      <c r="G905" t="s">
        <v>28</v>
      </c>
      <c r="H905" t="s">
        <v>38</v>
      </c>
      <c r="I905" t="s">
        <v>33</v>
      </c>
      <c r="J905">
        <v>25.31</v>
      </c>
      <c r="K905">
        <v>2</v>
      </c>
      <c r="L905">
        <v>2.5310000000000001</v>
      </c>
      <c r="M905">
        <v>53.151000000000003</v>
      </c>
      <c r="N905" s="1">
        <v>43526</v>
      </c>
      <c r="O905" s="2">
        <v>0.80972222222222223</v>
      </c>
      <c r="P905" t="s">
        <v>25</v>
      </c>
      <c r="Q905">
        <v>50.62</v>
      </c>
      <c r="R905">
        <v>4.7619047620000003</v>
      </c>
      <c r="S905">
        <v>2.5310000000000001</v>
      </c>
      <c r="T905">
        <v>7.2</v>
      </c>
    </row>
    <row r="906" spans="1:20" x14ac:dyDescent="0.3">
      <c r="A906">
        <v>641</v>
      </c>
      <c r="C906">
        <v>62</v>
      </c>
      <c r="D906">
        <v>7288</v>
      </c>
      <c r="E906" t="s">
        <v>34</v>
      </c>
      <c r="F906" t="s">
        <v>35</v>
      </c>
      <c r="G906" t="s">
        <v>28</v>
      </c>
      <c r="H906" t="s">
        <v>38</v>
      </c>
      <c r="I906" t="s">
        <v>31</v>
      </c>
      <c r="J906">
        <v>99.92</v>
      </c>
      <c r="K906">
        <v>6</v>
      </c>
      <c r="L906">
        <v>29.975999999999999</v>
      </c>
      <c r="M906">
        <v>629.49599999999998</v>
      </c>
      <c r="N906" s="1">
        <v>43548</v>
      </c>
      <c r="O906" s="2">
        <v>0.56458333333333333</v>
      </c>
      <c r="P906" t="s">
        <v>25</v>
      </c>
      <c r="Q906">
        <v>599.52</v>
      </c>
      <c r="R906">
        <v>4.7619047620000003</v>
      </c>
      <c r="S906">
        <v>29.975999999999999</v>
      </c>
      <c r="T906">
        <v>7.1</v>
      </c>
    </row>
    <row r="907" spans="1:20" x14ac:dyDescent="0.3">
      <c r="A907">
        <v>756</v>
      </c>
      <c r="C907">
        <v>93</v>
      </c>
      <c r="D907">
        <v>1854</v>
      </c>
      <c r="E907" t="s">
        <v>26</v>
      </c>
      <c r="F907" t="s">
        <v>27</v>
      </c>
      <c r="G907" t="s">
        <v>22</v>
      </c>
      <c r="H907" t="s">
        <v>23</v>
      </c>
      <c r="I907" t="s">
        <v>37</v>
      </c>
      <c r="J907">
        <v>83.35</v>
      </c>
      <c r="K907">
        <v>2</v>
      </c>
      <c r="L907">
        <v>8.3350000000000009</v>
      </c>
      <c r="M907">
        <v>175.035</v>
      </c>
      <c r="N907" s="1">
        <v>43498</v>
      </c>
      <c r="O907" s="2">
        <v>0.58680555555555558</v>
      </c>
      <c r="P907" t="s">
        <v>32</v>
      </c>
      <c r="Q907">
        <v>166.7</v>
      </c>
      <c r="R907">
        <v>4.7619047620000003</v>
      </c>
      <c r="S907">
        <v>8.3350000000000009</v>
      </c>
      <c r="T907">
        <v>9.5</v>
      </c>
    </row>
    <row r="908" spans="1:20" x14ac:dyDescent="0.3">
      <c r="A908">
        <v>243</v>
      </c>
      <c r="C908">
        <v>55</v>
      </c>
      <c r="D908">
        <v>8457</v>
      </c>
      <c r="E908" t="s">
        <v>20</v>
      </c>
      <c r="F908" t="s">
        <v>21</v>
      </c>
      <c r="G908" t="s">
        <v>28</v>
      </c>
      <c r="H908" t="s">
        <v>23</v>
      </c>
      <c r="I908" t="s">
        <v>36</v>
      </c>
      <c r="J908">
        <v>74.44</v>
      </c>
      <c r="K908">
        <v>10</v>
      </c>
      <c r="L908">
        <v>37.22</v>
      </c>
      <c r="M908">
        <v>781.62</v>
      </c>
      <c r="N908" s="1">
        <v>43523</v>
      </c>
      <c r="O908" s="2">
        <v>0.4861111111111111</v>
      </c>
      <c r="P908" t="s">
        <v>25</v>
      </c>
      <c r="Q908">
        <v>744.4</v>
      </c>
      <c r="R908">
        <v>4.7619047620000003</v>
      </c>
      <c r="S908">
        <v>37.22</v>
      </c>
      <c r="T908">
        <v>5.0999999999999996</v>
      </c>
    </row>
    <row r="909" spans="1:20" x14ac:dyDescent="0.3">
      <c r="A909">
        <v>458</v>
      </c>
      <c r="C909">
        <v>10</v>
      </c>
      <c r="D909">
        <v>8612</v>
      </c>
      <c r="E909" t="s">
        <v>26</v>
      </c>
      <c r="F909" t="s">
        <v>27</v>
      </c>
      <c r="G909" t="s">
        <v>28</v>
      </c>
      <c r="H909" t="s">
        <v>38</v>
      </c>
      <c r="I909" t="s">
        <v>24</v>
      </c>
      <c r="J909">
        <v>64.08</v>
      </c>
      <c r="K909">
        <v>7</v>
      </c>
      <c r="L909">
        <v>22.428000000000001</v>
      </c>
      <c r="M909">
        <v>470.988</v>
      </c>
      <c r="N909" s="1">
        <v>43485</v>
      </c>
      <c r="O909" s="2">
        <v>0.51875000000000004</v>
      </c>
      <c r="P909" t="s">
        <v>25</v>
      </c>
      <c r="Q909">
        <v>448.56</v>
      </c>
      <c r="R909">
        <v>4.7619047620000003</v>
      </c>
      <c r="S909">
        <v>22.428000000000001</v>
      </c>
      <c r="T909">
        <v>7.6</v>
      </c>
    </row>
    <row r="910" spans="1:20" x14ac:dyDescent="0.3">
      <c r="A910">
        <v>501</v>
      </c>
      <c r="C910">
        <v>61</v>
      </c>
      <c r="D910">
        <v>1753</v>
      </c>
      <c r="E910" t="s">
        <v>34</v>
      </c>
      <c r="F910" t="s">
        <v>35</v>
      </c>
      <c r="G910" t="s">
        <v>28</v>
      </c>
      <c r="H910" t="s">
        <v>23</v>
      </c>
      <c r="I910" t="s">
        <v>31</v>
      </c>
      <c r="J910">
        <v>63.15</v>
      </c>
      <c r="K910">
        <v>6</v>
      </c>
      <c r="L910">
        <v>18.945</v>
      </c>
      <c r="M910">
        <v>397.84500000000003</v>
      </c>
      <c r="N910" s="1">
        <v>43468</v>
      </c>
      <c r="O910" s="2">
        <v>0.85</v>
      </c>
      <c r="P910" t="s">
        <v>25</v>
      </c>
      <c r="Q910">
        <v>378.9</v>
      </c>
      <c r="R910">
        <v>4.7619047620000003</v>
      </c>
      <c r="S910">
        <v>18.945</v>
      </c>
      <c r="T910">
        <v>9.8000000000000007</v>
      </c>
    </row>
    <row r="911" spans="1:20" x14ac:dyDescent="0.3">
      <c r="A911">
        <v>235</v>
      </c>
      <c r="C911">
        <v>6</v>
      </c>
      <c r="D911">
        <v>8510</v>
      </c>
      <c r="E911" t="s">
        <v>26</v>
      </c>
      <c r="F911" t="s">
        <v>27</v>
      </c>
      <c r="G911" t="s">
        <v>22</v>
      </c>
      <c r="H911" t="s">
        <v>38</v>
      </c>
      <c r="I911" t="s">
        <v>31</v>
      </c>
      <c r="J911">
        <v>85.72</v>
      </c>
      <c r="K911">
        <v>3</v>
      </c>
      <c r="L911">
        <v>12.858000000000001</v>
      </c>
      <c r="M911">
        <v>270.01799999999997</v>
      </c>
      <c r="N911" s="1">
        <v>43489</v>
      </c>
      <c r="O911" s="2">
        <v>0.87430555555555556</v>
      </c>
      <c r="P911" t="s">
        <v>25</v>
      </c>
      <c r="Q911">
        <v>257.16000000000003</v>
      </c>
      <c r="R911">
        <v>4.7619047620000003</v>
      </c>
      <c r="S911">
        <v>12.858000000000001</v>
      </c>
      <c r="T911">
        <v>5.0999999999999996</v>
      </c>
    </row>
    <row r="912" spans="1:20" x14ac:dyDescent="0.3">
      <c r="A912">
        <v>433</v>
      </c>
      <c r="C912">
        <v>8</v>
      </c>
      <c r="D912">
        <v>7822</v>
      </c>
      <c r="E912" t="s">
        <v>26</v>
      </c>
      <c r="F912" t="s">
        <v>27</v>
      </c>
      <c r="G912" t="s">
        <v>28</v>
      </c>
      <c r="H912" t="s">
        <v>23</v>
      </c>
      <c r="I912" t="s">
        <v>24</v>
      </c>
      <c r="J912">
        <v>78.89</v>
      </c>
      <c r="K912">
        <v>7</v>
      </c>
      <c r="L912">
        <v>27.611499999999999</v>
      </c>
      <c r="M912">
        <v>579.8415</v>
      </c>
      <c r="N912" s="1">
        <v>43470</v>
      </c>
      <c r="O912" s="2">
        <v>0.82499999999999996</v>
      </c>
      <c r="P912" t="s">
        <v>25</v>
      </c>
      <c r="Q912">
        <v>552.23</v>
      </c>
      <c r="R912">
        <v>4.7619047620000003</v>
      </c>
      <c r="S912">
        <v>27.611499999999999</v>
      </c>
      <c r="T912">
        <v>7.5</v>
      </c>
    </row>
    <row r="913" spans="1:20" x14ac:dyDescent="0.3">
      <c r="A913">
        <v>361</v>
      </c>
      <c r="C913">
        <v>85</v>
      </c>
      <c r="D913">
        <v>2571</v>
      </c>
      <c r="E913" t="s">
        <v>20</v>
      </c>
      <c r="F913" t="s">
        <v>21</v>
      </c>
      <c r="G913" t="s">
        <v>28</v>
      </c>
      <c r="H913" t="s">
        <v>23</v>
      </c>
      <c r="I913" t="s">
        <v>33</v>
      </c>
      <c r="J913">
        <v>89.48</v>
      </c>
      <c r="K913">
        <v>5</v>
      </c>
      <c r="L913">
        <v>22.37</v>
      </c>
      <c r="M913">
        <v>469.77</v>
      </c>
      <c r="N913" s="1">
        <v>43554</v>
      </c>
      <c r="O913" s="2">
        <v>0.42916666666666664</v>
      </c>
      <c r="P913" t="s">
        <v>30</v>
      </c>
      <c r="Q913">
        <v>447.4</v>
      </c>
      <c r="R913">
        <v>4.7619047620000003</v>
      </c>
      <c r="S913">
        <v>22.37</v>
      </c>
      <c r="T913">
        <v>7.4</v>
      </c>
    </row>
    <row r="914" spans="1:20" x14ac:dyDescent="0.3">
      <c r="A914">
        <v>131</v>
      </c>
      <c r="C914">
        <v>70</v>
      </c>
      <c r="D914">
        <v>8179</v>
      </c>
      <c r="E914" t="s">
        <v>20</v>
      </c>
      <c r="F914" t="s">
        <v>21</v>
      </c>
      <c r="G914" t="s">
        <v>22</v>
      </c>
      <c r="H914" t="s">
        <v>23</v>
      </c>
      <c r="I914" t="s">
        <v>24</v>
      </c>
      <c r="J914">
        <v>92.09</v>
      </c>
      <c r="K914">
        <v>3</v>
      </c>
      <c r="L914">
        <v>13.813499999999999</v>
      </c>
      <c r="M914">
        <v>290.08350000000002</v>
      </c>
      <c r="N914" s="1">
        <v>43513</v>
      </c>
      <c r="O914" s="2">
        <v>0.68541666666666667</v>
      </c>
      <c r="P914" t="s">
        <v>30</v>
      </c>
      <c r="Q914">
        <v>276.27</v>
      </c>
      <c r="R914">
        <v>4.7619047620000003</v>
      </c>
      <c r="S914">
        <v>13.813499999999999</v>
      </c>
      <c r="T914">
        <v>4.2</v>
      </c>
    </row>
    <row r="915" spans="1:20" x14ac:dyDescent="0.3">
      <c r="A915">
        <v>500</v>
      </c>
      <c r="C915">
        <v>2</v>
      </c>
      <c r="D915">
        <v>2261</v>
      </c>
      <c r="E915" t="s">
        <v>26</v>
      </c>
      <c r="F915" t="s">
        <v>27</v>
      </c>
      <c r="G915" t="s">
        <v>28</v>
      </c>
      <c r="H915" t="s">
        <v>23</v>
      </c>
      <c r="I915" t="s">
        <v>36</v>
      </c>
      <c r="J915">
        <v>57.29</v>
      </c>
      <c r="K915">
        <v>6</v>
      </c>
      <c r="L915">
        <v>17.187000000000001</v>
      </c>
      <c r="M915">
        <v>360.92700000000002</v>
      </c>
      <c r="N915" s="1">
        <v>43545</v>
      </c>
      <c r="O915" s="2">
        <v>0.71111111111111114</v>
      </c>
      <c r="P915" t="s">
        <v>25</v>
      </c>
      <c r="Q915">
        <v>343.74</v>
      </c>
      <c r="R915">
        <v>4.7619047620000003</v>
      </c>
      <c r="S915">
        <v>17.187000000000001</v>
      </c>
      <c r="T915">
        <v>5.9</v>
      </c>
    </row>
    <row r="916" spans="1:20" x14ac:dyDescent="0.3">
      <c r="A916">
        <v>720</v>
      </c>
      <c r="C916">
        <v>72</v>
      </c>
      <c r="D916">
        <v>2436</v>
      </c>
      <c r="E916" t="s">
        <v>20</v>
      </c>
      <c r="F916" t="s">
        <v>21</v>
      </c>
      <c r="G916" t="s">
        <v>28</v>
      </c>
      <c r="H916" t="s">
        <v>38</v>
      </c>
      <c r="I916" t="s">
        <v>36</v>
      </c>
      <c r="J916">
        <v>66.52</v>
      </c>
      <c r="K916">
        <v>4</v>
      </c>
      <c r="L916">
        <v>13.304</v>
      </c>
      <c r="M916">
        <v>279.38400000000001</v>
      </c>
      <c r="N916" s="1">
        <v>43526</v>
      </c>
      <c r="O916" s="2">
        <v>0.75972222222222219</v>
      </c>
      <c r="P916" t="s">
        <v>25</v>
      </c>
      <c r="Q916">
        <v>266.08</v>
      </c>
      <c r="R916">
        <v>4.7619047620000003</v>
      </c>
      <c r="S916">
        <v>13.304</v>
      </c>
      <c r="T916">
        <v>6.9</v>
      </c>
    </row>
    <row r="917" spans="1:20" x14ac:dyDescent="0.3">
      <c r="A917">
        <v>702</v>
      </c>
      <c r="C917">
        <v>83</v>
      </c>
      <c r="D917">
        <v>5291</v>
      </c>
      <c r="E917" t="s">
        <v>26</v>
      </c>
      <c r="F917" t="s">
        <v>27</v>
      </c>
      <c r="G917" t="s">
        <v>22</v>
      </c>
      <c r="H917" t="s">
        <v>38</v>
      </c>
      <c r="I917" t="s">
        <v>37</v>
      </c>
      <c r="J917">
        <v>99.82</v>
      </c>
      <c r="K917">
        <v>9</v>
      </c>
      <c r="L917">
        <v>44.918999999999997</v>
      </c>
      <c r="M917">
        <v>943.29899999999998</v>
      </c>
      <c r="N917" s="1">
        <v>43551</v>
      </c>
      <c r="O917" s="2">
        <v>0.4465277777777778</v>
      </c>
      <c r="P917" t="s">
        <v>30</v>
      </c>
      <c r="Q917">
        <v>898.38</v>
      </c>
      <c r="R917">
        <v>4.7619047620000003</v>
      </c>
      <c r="S917">
        <v>44.918999999999997</v>
      </c>
      <c r="T917">
        <v>6.6</v>
      </c>
    </row>
    <row r="918" spans="1:20" x14ac:dyDescent="0.3">
      <c r="A918">
        <v>809</v>
      </c>
      <c r="C918">
        <v>69</v>
      </c>
      <c r="D918">
        <v>9497</v>
      </c>
      <c r="E918" t="s">
        <v>20</v>
      </c>
      <c r="F918" t="s">
        <v>21</v>
      </c>
      <c r="G918" t="s">
        <v>28</v>
      </c>
      <c r="H918" t="s">
        <v>23</v>
      </c>
      <c r="I918" t="s">
        <v>31</v>
      </c>
      <c r="J918">
        <v>45.68</v>
      </c>
      <c r="K918">
        <v>10</v>
      </c>
      <c r="L918">
        <v>22.84</v>
      </c>
      <c r="M918">
        <v>479.64</v>
      </c>
      <c r="N918" s="1">
        <v>43484</v>
      </c>
      <c r="O918" s="2">
        <v>0.8125</v>
      </c>
      <c r="P918" t="s">
        <v>25</v>
      </c>
      <c r="Q918">
        <v>456.8</v>
      </c>
      <c r="R918">
        <v>4.7619047620000003</v>
      </c>
      <c r="S918">
        <v>22.84</v>
      </c>
      <c r="T918">
        <v>5.7</v>
      </c>
    </row>
    <row r="919" spans="1:20" x14ac:dyDescent="0.3">
      <c r="A919">
        <v>449</v>
      </c>
      <c r="C919">
        <v>16</v>
      </c>
      <c r="D919">
        <v>6770</v>
      </c>
      <c r="E919" t="s">
        <v>20</v>
      </c>
      <c r="F919" t="s">
        <v>21</v>
      </c>
      <c r="G919" t="s">
        <v>28</v>
      </c>
      <c r="H919" t="s">
        <v>38</v>
      </c>
      <c r="I919" t="s">
        <v>24</v>
      </c>
      <c r="J919">
        <v>50.79</v>
      </c>
      <c r="K919">
        <v>5</v>
      </c>
      <c r="L919">
        <v>12.6975</v>
      </c>
      <c r="M919">
        <v>266.64749999999998</v>
      </c>
      <c r="N919" s="1">
        <v>43515</v>
      </c>
      <c r="O919" s="2">
        <v>0.62013888888888891</v>
      </c>
      <c r="P919" t="s">
        <v>32</v>
      </c>
      <c r="Q919">
        <v>253.95</v>
      </c>
      <c r="R919">
        <v>4.7619047620000003</v>
      </c>
      <c r="S919">
        <v>12.6975</v>
      </c>
      <c r="T919">
        <v>5.3</v>
      </c>
    </row>
    <row r="920" spans="1:20" x14ac:dyDescent="0.3">
      <c r="A920">
        <v>333</v>
      </c>
      <c r="C920">
        <v>23</v>
      </c>
      <c r="D920">
        <v>2632</v>
      </c>
      <c r="E920" t="s">
        <v>20</v>
      </c>
      <c r="F920" t="s">
        <v>21</v>
      </c>
      <c r="G920" t="s">
        <v>22</v>
      </c>
      <c r="H920" t="s">
        <v>38</v>
      </c>
      <c r="I920" t="s">
        <v>24</v>
      </c>
      <c r="J920">
        <v>10.08</v>
      </c>
      <c r="K920">
        <v>7</v>
      </c>
      <c r="L920">
        <v>3.528</v>
      </c>
      <c r="M920">
        <v>74.087999999999994</v>
      </c>
      <c r="N920" s="1">
        <v>43552</v>
      </c>
      <c r="O920" s="2">
        <v>0.84305555555555556</v>
      </c>
      <c r="P920" t="s">
        <v>30</v>
      </c>
      <c r="Q920">
        <v>70.56</v>
      </c>
      <c r="R920">
        <v>4.7619047620000003</v>
      </c>
      <c r="S920">
        <v>3.528</v>
      </c>
      <c r="T920">
        <v>4.2</v>
      </c>
    </row>
    <row r="921" spans="1:20" x14ac:dyDescent="0.3">
      <c r="A921">
        <v>489</v>
      </c>
      <c r="C921">
        <v>82</v>
      </c>
      <c r="D921">
        <v>1237</v>
      </c>
      <c r="E921" t="s">
        <v>20</v>
      </c>
      <c r="F921" t="s">
        <v>21</v>
      </c>
      <c r="G921" t="s">
        <v>28</v>
      </c>
      <c r="H921" t="s">
        <v>23</v>
      </c>
      <c r="I921" t="s">
        <v>29</v>
      </c>
      <c r="J921">
        <v>93.88</v>
      </c>
      <c r="K921">
        <v>7</v>
      </c>
      <c r="L921">
        <v>32.857999999999997</v>
      </c>
      <c r="M921">
        <v>690.01800000000003</v>
      </c>
      <c r="N921" s="1">
        <v>43470</v>
      </c>
      <c r="O921" s="2">
        <v>0.49375000000000002</v>
      </c>
      <c r="P921" t="s">
        <v>32</v>
      </c>
      <c r="Q921">
        <v>657.16</v>
      </c>
      <c r="R921">
        <v>4.7619047620000003</v>
      </c>
      <c r="S921">
        <v>32.857999999999997</v>
      </c>
      <c r="T921">
        <v>7.3</v>
      </c>
    </row>
    <row r="922" spans="1:20" x14ac:dyDescent="0.3">
      <c r="A922">
        <v>859</v>
      </c>
      <c r="C922">
        <v>97</v>
      </c>
      <c r="D922">
        <v>6048</v>
      </c>
      <c r="E922" t="s">
        <v>26</v>
      </c>
      <c r="F922" t="s">
        <v>27</v>
      </c>
      <c r="G922" t="s">
        <v>22</v>
      </c>
      <c r="H922" t="s">
        <v>38</v>
      </c>
      <c r="I922" t="s">
        <v>29</v>
      </c>
      <c r="J922">
        <v>84.25</v>
      </c>
      <c r="K922">
        <v>2</v>
      </c>
      <c r="L922">
        <v>8.4250000000000007</v>
      </c>
      <c r="M922">
        <v>176.92500000000001</v>
      </c>
      <c r="N922" s="1">
        <v>43550</v>
      </c>
      <c r="O922" s="2">
        <v>0.59236111111111112</v>
      </c>
      <c r="P922" t="s">
        <v>32</v>
      </c>
      <c r="Q922">
        <v>168.5</v>
      </c>
      <c r="R922">
        <v>4.7619047620000003</v>
      </c>
      <c r="S922">
        <v>8.4250000000000007</v>
      </c>
      <c r="T922">
        <v>5.3</v>
      </c>
    </row>
    <row r="923" spans="1:20" x14ac:dyDescent="0.3">
      <c r="A923">
        <v>676</v>
      </c>
      <c r="C923">
        <v>10</v>
      </c>
      <c r="D923">
        <v>2200</v>
      </c>
      <c r="E923" t="s">
        <v>34</v>
      </c>
      <c r="F923" t="s">
        <v>35</v>
      </c>
      <c r="G923" t="s">
        <v>22</v>
      </c>
      <c r="H923" t="s">
        <v>38</v>
      </c>
      <c r="I923" t="s">
        <v>37</v>
      </c>
      <c r="J923">
        <v>53.78</v>
      </c>
      <c r="K923">
        <v>1</v>
      </c>
      <c r="L923">
        <v>2.6890000000000001</v>
      </c>
      <c r="M923">
        <v>56.469000000000001</v>
      </c>
      <c r="N923" s="1">
        <v>43499</v>
      </c>
      <c r="O923" s="2">
        <v>0.84236111111111112</v>
      </c>
      <c r="P923" t="s">
        <v>25</v>
      </c>
      <c r="Q923">
        <v>53.78</v>
      </c>
      <c r="R923">
        <v>4.7619047620000003</v>
      </c>
      <c r="S923">
        <v>2.6890000000000001</v>
      </c>
      <c r="T923">
        <v>4.7</v>
      </c>
    </row>
    <row r="924" spans="1:20" x14ac:dyDescent="0.3">
      <c r="A924">
        <v>373</v>
      </c>
      <c r="C924">
        <v>88</v>
      </c>
      <c r="D924">
        <v>1424</v>
      </c>
      <c r="E924" t="s">
        <v>26</v>
      </c>
      <c r="F924" t="s">
        <v>27</v>
      </c>
      <c r="G924" t="s">
        <v>22</v>
      </c>
      <c r="H924" t="s">
        <v>38</v>
      </c>
      <c r="I924" t="s">
        <v>31</v>
      </c>
      <c r="J924">
        <v>35.81</v>
      </c>
      <c r="K924">
        <v>5</v>
      </c>
      <c r="L924">
        <v>8.9525000000000006</v>
      </c>
      <c r="M924">
        <v>188.0025</v>
      </c>
      <c r="N924" s="1">
        <v>43502</v>
      </c>
      <c r="O924" s="2">
        <v>0.78055555555555556</v>
      </c>
      <c r="P924" t="s">
        <v>25</v>
      </c>
      <c r="Q924">
        <v>179.05</v>
      </c>
      <c r="R924">
        <v>4.7619047620000003</v>
      </c>
      <c r="S924">
        <v>8.9525000000000006</v>
      </c>
      <c r="T924">
        <v>7.9</v>
      </c>
    </row>
    <row r="925" spans="1:20" x14ac:dyDescent="0.3">
      <c r="A925">
        <v>365</v>
      </c>
      <c r="C925">
        <v>16</v>
      </c>
      <c r="D925">
        <v>4334</v>
      </c>
      <c r="E925" t="s">
        <v>34</v>
      </c>
      <c r="F925" t="s">
        <v>35</v>
      </c>
      <c r="G925" t="s">
        <v>28</v>
      </c>
      <c r="H925" t="s">
        <v>23</v>
      </c>
      <c r="I925" t="s">
        <v>36</v>
      </c>
      <c r="J925">
        <v>26.43</v>
      </c>
      <c r="K925">
        <v>8</v>
      </c>
      <c r="L925">
        <v>10.571999999999999</v>
      </c>
      <c r="M925">
        <v>222.012</v>
      </c>
      <c r="N925" s="1">
        <v>43520</v>
      </c>
      <c r="O925" s="2">
        <v>0.60138888888888886</v>
      </c>
      <c r="P925" t="s">
        <v>25</v>
      </c>
      <c r="Q925">
        <v>211.44</v>
      </c>
      <c r="R925">
        <v>4.7619047620000003</v>
      </c>
      <c r="S925">
        <v>10.571999999999999</v>
      </c>
      <c r="T925">
        <v>8.9</v>
      </c>
    </row>
    <row r="926" spans="1:20" x14ac:dyDescent="0.3">
      <c r="A926">
        <v>503</v>
      </c>
      <c r="C926">
        <v>21</v>
      </c>
      <c r="D926">
        <v>4385</v>
      </c>
      <c r="E926" t="s">
        <v>34</v>
      </c>
      <c r="F926" t="s">
        <v>35</v>
      </c>
      <c r="G926" t="s">
        <v>22</v>
      </c>
      <c r="H926" t="s">
        <v>38</v>
      </c>
      <c r="I926" t="s">
        <v>24</v>
      </c>
      <c r="J926">
        <v>39.909999999999997</v>
      </c>
      <c r="K926">
        <v>3</v>
      </c>
      <c r="L926">
        <v>5.9865000000000004</v>
      </c>
      <c r="M926">
        <v>125.7165</v>
      </c>
      <c r="N926" s="1">
        <v>43517</v>
      </c>
      <c r="O926" s="2">
        <v>0.52777777777777779</v>
      </c>
      <c r="P926" t="s">
        <v>25</v>
      </c>
      <c r="Q926">
        <v>119.73</v>
      </c>
      <c r="R926">
        <v>4.7619047620000003</v>
      </c>
      <c r="S926">
        <v>5.9865000000000004</v>
      </c>
      <c r="T926">
        <v>9.3000000000000007</v>
      </c>
    </row>
    <row r="927" spans="1:20" x14ac:dyDescent="0.3">
      <c r="A927">
        <v>305</v>
      </c>
      <c r="C927">
        <v>89</v>
      </c>
      <c r="D927">
        <v>2768</v>
      </c>
      <c r="E927" t="s">
        <v>34</v>
      </c>
      <c r="F927" t="s">
        <v>35</v>
      </c>
      <c r="G927" t="s">
        <v>22</v>
      </c>
      <c r="H927" t="s">
        <v>23</v>
      </c>
      <c r="I927" t="s">
        <v>31</v>
      </c>
      <c r="J927">
        <v>21.9</v>
      </c>
      <c r="K927">
        <v>3</v>
      </c>
      <c r="L927">
        <v>3.2850000000000001</v>
      </c>
      <c r="M927">
        <v>68.984999999999999</v>
      </c>
      <c r="N927" s="1">
        <v>43474</v>
      </c>
      <c r="O927" s="2">
        <v>0.77986111111111112</v>
      </c>
      <c r="P927" t="s">
        <v>25</v>
      </c>
      <c r="Q927">
        <v>65.7</v>
      </c>
      <c r="R927">
        <v>4.7619047620000003</v>
      </c>
      <c r="S927">
        <v>3.2850000000000001</v>
      </c>
      <c r="T927">
        <v>4.7</v>
      </c>
    </row>
    <row r="928" spans="1:20" x14ac:dyDescent="0.3">
      <c r="A928">
        <v>574</v>
      </c>
      <c r="C928">
        <v>80</v>
      </c>
      <c r="D928">
        <v>1489</v>
      </c>
      <c r="E928" t="s">
        <v>34</v>
      </c>
      <c r="F928" t="s">
        <v>35</v>
      </c>
      <c r="G928" t="s">
        <v>22</v>
      </c>
      <c r="H928" t="s">
        <v>23</v>
      </c>
      <c r="I928" t="s">
        <v>36</v>
      </c>
      <c r="J928">
        <v>62.85</v>
      </c>
      <c r="K928">
        <v>4</v>
      </c>
      <c r="L928">
        <v>12.57</v>
      </c>
      <c r="M928">
        <v>263.97000000000003</v>
      </c>
      <c r="N928" s="1">
        <v>43521</v>
      </c>
      <c r="O928" s="2">
        <v>0.55694444444444446</v>
      </c>
      <c r="P928" t="s">
        <v>25</v>
      </c>
      <c r="Q928">
        <v>251.4</v>
      </c>
      <c r="R928">
        <v>4.7619047620000003</v>
      </c>
      <c r="S928">
        <v>12.57</v>
      </c>
      <c r="T928">
        <v>8.6999999999999993</v>
      </c>
    </row>
    <row r="929" spans="1:20" x14ac:dyDescent="0.3">
      <c r="A929">
        <v>784</v>
      </c>
      <c r="C929">
        <v>8</v>
      </c>
      <c r="D929">
        <v>310</v>
      </c>
      <c r="E929" t="s">
        <v>26</v>
      </c>
      <c r="F929" t="s">
        <v>27</v>
      </c>
      <c r="G929" t="s">
        <v>22</v>
      </c>
      <c r="H929" t="s">
        <v>23</v>
      </c>
      <c r="I929" t="s">
        <v>36</v>
      </c>
      <c r="J929">
        <v>21.04</v>
      </c>
      <c r="K929">
        <v>4</v>
      </c>
      <c r="L929">
        <v>4.2080000000000002</v>
      </c>
      <c r="M929">
        <v>88.367999999999995</v>
      </c>
      <c r="N929" s="1">
        <v>43478</v>
      </c>
      <c r="O929" s="2">
        <v>0.58194444444444449</v>
      </c>
      <c r="P929" t="s">
        <v>30</v>
      </c>
      <c r="Q929">
        <v>84.16</v>
      </c>
      <c r="R929">
        <v>4.7619047620000003</v>
      </c>
      <c r="S929">
        <v>4.2080000000000002</v>
      </c>
      <c r="T929">
        <v>7.6</v>
      </c>
    </row>
    <row r="930" spans="1:20" x14ac:dyDescent="0.3">
      <c r="A930">
        <v>200</v>
      </c>
      <c r="C930">
        <v>40</v>
      </c>
      <c r="D930">
        <v>6154</v>
      </c>
      <c r="E930" t="s">
        <v>34</v>
      </c>
      <c r="F930" t="s">
        <v>35</v>
      </c>
      <c r="G930" t="s">
        <v>22</v>
      </c>
      <c r="H930" t="s">
        <v>38</v>
      </c>
      <c r="I930" t="s">
        <v>31</v>
      </c>
      <c r="J930">
        <v>65.91</v>
      </c>
      <c r="K930">
        <v>6</v>
      </c>
      <c r="L930">
        <v>19.773</v>
      </c>
      <c r="M930">
        <v>415.233</v>
      </c>
      <c r="N930" s="1">
        <v>43505</v>
      </c>
      <c r="O930" s="2">
        <v>0.48958333333333331</v>
      </c>
      <c r="P930" t="s">
        <v>30</v>
      </c>
      <c r="Q930">
        <v>395.46</v>
      </c>
      <c r="R930">
        <v>4.7619047620000003</v>
      </c>
      <c r="S930">
        <v>19.773</v>
      </c>
      <c r="T930">
        <v>5.7</v>
      </c>
    </row>
    <row r="931" spans="1:20" x14ac:dyDescent="0.3">
      <c r="A931">
        <v>846</v>
      </c>
      <c r="C931">
        <v>10</v>
      </c>
      <c r="D931">
        <v>341</v>
      </c>
      <c r="E931" t="s">
        <v>20</v>
      </c>
      <c r="F931" t="s">
        <v>21</v>
      </c>
      <c r="G931" t="s">
        <v>28</v>
      </c>
      <c r="H931" t="s">
        <v>23</v>
      </c>
      <c r="I931" t="s">
        <v>37</v>
      </c>
      <c r="J931">
        <v>42.57</v>
      </c>
      <c r="K931">
        <v>7</v>
      </c>
      <c r="L931">
        <v>14.8995</v>
      </c>
      <c r="M931">
        <v>312.8895</v>
      </c>
      <c r="N931" s="1">
        <v>43471</v>
      </c>
      <c r="O931" s="2">
        <v>0.49375000000000002</v>
      </c>
      <c r="P931" t="s">
        <v>30</v>
      </c>
      <c r="Q931">
        <v>297.99</v>
      </c>
      <c r="R931">
        <v>4.7619047620000003</v>
      </c>
      <c r="S931">
        <v>14.8995</v>
      </c>
      <c r="T931">
        <v>6.8</v>
      </c>
    </row>
    <row r="932" spans="1:20" x14ac:dyDescent="0.3">
      <c r="A932">
        <v>577</v>
      </c>
      <c r="C932">
        <v>34</v>
      </c>
      <c r="D932">
        <v>7579</v>
      </c>
      <c r="E932" t="s">
        <v>26</v>
      </c>
      <c r="F932" t="s">
        <v>27</v>
      </c>
      <c r="G932" t="s">
        <v>22</v>
      </c>
      <c r="H932" t="s">
        <v>38</v>
      </c>
      <c r="I932" t="s">
        <v>36</v>
      </c>
      <c r="J932">
        <v>50.49</v>
      </c>
      <c r="K932">
        <v>9</v>
      </c>
      <c r="L932">
        <v>22.720500000000001</v>
      </c>
      <c r="M932">
        <v>477.13049999999998</v>
      </c>
      <c r="N932" s="1">
        <v>43475</v>
      </c>
      <c r="O932" s="2">
        <v>0.71944444444444444</v>
      </c>
      <c r="P932" t="s">
        <v>30</v>
      </c>
      <c r="Q932">
        <v>454.41</v>
      </c>
      <c r="R932">
        <v>4.7619047620000003</v>
      </c>
      <c r="S932">
        <v>22.720500000000001</v>
      </c>
      <c r="T932">
        <v>5.4</v>
      </c>
    </row>
    <row r="933" spans="1:20" x14ac:dyDescent="0.3">
      <c r="A933">
        <v>430</v>
      </c>
      <c r="C933">
        <v>2</v>
      </c>
      <c r="D933">
        <v>3888</v>
      </c>
      <c r="E933" t="s">
        <v>34</v>
      </c>
      <c r="F933" t="s">
        <v>35</v>
      </c>
      <c r="G933" t="s">
        <v>28</v>
      </c>
      <c r="H933" t="s">
        <v>38</v>
      </c>
      <c r="I933" t="s">
        <v>29</v>
      </c>
      <c r="J933">
        <v>46.02</v>
      </c>
      <c r="K933">
        <v>6</v>
      </c>
      <c r="L933">
        <v>13.805999999999999</v>
      </c>
      <c r="M933">
        <v>289.92599999999999</v>
      </c>
      <c r="N933" s="1">
        <v>43503</v>
      </c>
      <c r="O933" s="2">
        <v>0.66319444444444442</v>
      </c>
      <c r="P933" t="s">
        <v>30</v>
      </c>
      <c r="Q933">
        <v>276.12</v>
      </c>
      <c r="R933">
        <v>4.7619047620000003</v>
      </c>
      <c r="S933">
        <v>13.805999999999999</v>
      </c>
      <c r="T933">
        <v>7.1</v>
      </c>
    </row>
    <row r="934" spans="1:20" x14ac:dyDescent="0.3">
      <c r="A934">
        <v>867</v>
      </c>
      <c r="C934">
        <v>47</v>
      </c>
      <c r="D934">
        <v>1948</v>
      </c>
      <c r="E934" t="s">
        <v>26</v>
      </c>
      <c r="F934" t="s">
        <v>27</v>
      </c>
      <c r="G934" t="s">
        <v>28</v>
      </c>
      <c r="H934" t="s">
        <v>23</v>
      </c>
      <c r="I934" t="s">
        <v>31</v>
      </c>
      <c r="J934">
        <v>15.8</v>
      </c>
      <c r="K934">
        <v>10</v>
      </c>
      <c r="L934">
        <v>7.9</v>
      </c>
      <c r="M934">
        <v>165.9</v>
      </c>
      <c r="N934" s="1">
        <v>43474</v>
      </c>
      <c r="O934" s="2">
        <v>0.50486111111111109</v>
      </c>
      <c r="P934" t="s">
        <v>30</v>
      </c>
      <c r="Q934">
        <v>158</v>
      </c>
      <c r="R934">
        <v>4.7619047620000003</v>
      </c>
      <c r="S934">
        <v>7.9</v>
      </c>
      <c r="T934">
        <v>7.8</v>
      </c>
    </row>
    <row r="935" spans="1:20" x14ac:dyDescent="0.3">
      <c r="A935">
        <v>384</v>
      </c>
      <c r="C935">
        <v>59</v>
      </c>
      <c r="D935">
        <v>6655</v>
      </c>
      <c r="E935" t="s">
        <v>20</v>
      </c>
      <c r="F935" t="s">
        <v>21</v>
      </c>
      <c r="G935" t="s">
        <v>22</v>
      </c>
      <c r="H935" t="s">
        <v>23</v>
      </c>
      <c r="I935" t="s">
        <v>36</v>
      </c>
      <c r="J935">
        <v>98.66</v>
      </c>
      <c r="K935">
        <v>9</v>
      </c>
      <c r="L935">
        <v>44.396999999999998</v>
      </c>
      <c r="M935">
        <v>932.33699999999999</v>
      </c>
      <c r="N935" s="1">
        <v>43515</v>
      </c>
      <c r="O935" s="2">
        <v>0.62986111111111109</v>
      </c>
      <c r="P935" t="s">
        <v>30</v>
      </c>
      <c r="Q935">
        <v>887.94</v>
      </c>
      <c r="R935">
        <v>4.7619047620000003</v>
      </c>
      <c r="S935">
        <v>44.396999999999998</v>
      </c>
      <c r="T935">
        <v>8.4</v>
      </c>
    </row>
    <row r="936" spans="1:20" x14ac:dyDescent="0.3">
      <c r="A936">
        <v>256</v>
      </c>
      <c r="C936">
        <v>58</v>
      </c>
      <c r="D936">
        <v>3609</v>
      </c>
      <c r="E936" t="s">
        <v>26</v>
      </c>
      <c r="F936" t="s">
        <v>27</v>
      </c>
      <c r="G936" t="s">
        <v>22</v>
      </c>
      <c r="H936" t="s">
        <v>38</v>
      </c>
      <c r="I936" t="s">
        <v>37</v>
      </c>
      <c r="J936">
        <v>91.98</v>
      </c>
      <c r="K936">
        <v>1</v>
      </c>
      <c r="L936">
        <v>4.5990000000000002</v>
      </c>
      <c r="M936">
        <v>96.578999999999994</v>
      </c>
      <c r="N936" s="1">
        <v>43542</v>
      </c>
      <c r="O936" s="2">
        <v>0.64513888888888893</v>
      </c>
      <c r="P936" t="s">
        <v>30</v>
      </c>
      <c r="Q936">
        <v>91.98</v>
      </c>
      <c r="R936">
        <v>4.7619047620000003</v>
      </c>
      <c r="S936">
        <v>4.5990000000000002</v>
      </c>
      <c r="T936">
        <v>9.8000000000000007</v>
      </c>
    </row>
    <row r="937" spans="1:20" x14ac:dyDescent="0.3">
      <c r="A937">
        <v>324</v>
      </c>
      <c r="C937">
        <v>92</v>
      </c>
      <c r="D937">
        <v>3863</v>
      </c>
      <c r="E937" t="s">
        <v>20</v>
      </c>
      <c r="F937" t="s">
        <v>21</v>
      </c>
      <c r="G937" t="s">
        <v>22</v>
      </c>
      <c r="H937" t="s">
        <v>38</v>
      </c>
      <c r="I937" t="s">
        <v>29</v>
      </c>
      <c r="J937">
        <v>20.89</v>
      </c>
      <c r="K937">
        <v>2</v>
      </c>
      <c r="L937">
        <v>2.089</v>
      </c>
      <c r="M937">
        <v>43.869</v>
      </c>
      <c r="N937" s="1">
        <v>43501</v>
      </c>
      <c r="O937" s="2">
        <v>0.78125</v>
      </c>
      <c r="P937" t="s">
        <v>30</v>
      </c>
      <c r="Q937">
        <v>41.78</v>
      </c>
      <c r="R937">
        <v>4.7619047620000003</v>
      </c>
      <c r="S937">
        <v>2.089</v>
      </c>
      <c r="T937">
        <v>9.8000000000000007</v>
      </c>
    </row>
    <row r="938" spans="1:20" x14ac:dyDescent="0.3">
      <c r="A938">
        <v>593</v>
      </c>
      <c r="C938">
        <v>8</v>
      </c>
      <c r="D938">
        <v>5916</v>
      </c>
      <c r="E938" t="s">
        <v>20</v>
      </c>
      <c r="F938" t="s">
        <v>21</v>
      </c>
      <c r="G938" t="s">
        <v>28</v>
      </c>
      <c r="H938" t="s">
        <v>23</v>
      </c>
      <c r="I938" t="s">
        <v>37</v>
      </c>
      <c r="J938">
        <v>15.5</v>
      </c>
      <c r="K938">
        <v>1</v>
      </c>
      <c r="L938">
        <v>0.77500000000000002</v>
      </c>
      <c r="M938">
        <v>16.274999999999999</v>
      </c>
      <c r="N938" s="1">
        <v>43543</v>
      </c>
      <c r="O938" s="2">
        <v>0.64097222222222228</v>
      </c>
      <c r="P938" t="s">
        <v>32</v>
      </c>
      <c r="Q938">
        <v>15.5</v>
      </c>
      <c r="R938">
        <v>4.7619047620000003</v>
      </c>
      <c r="S938">
        <v>0.77500000000000002</v>
      </c>
      <c r="T938">
        <v>7.4</v>
      </c>
    </row>
    <row r="939" spans="1:20" x14ac:dyDescent="0.3">
      <c r="A939">
        <v>364</v>
      </c>
      <c r="C939">
        <v>34</v>
      </c>
      <c r="D939">
        <v>2972</v>
      </c>
      <c r="E939" t="s">
        <v>26</v>
      </c>
      <c r="F939" t="s">
        <v>27</v>
      </c>
      <c r="G939" t="s">
        <v>22</v>
      </c>
      <c r="H939" t="s">
        <v>38</v>
      </c>
      <c r="I939" t="s">
        <v>29</v>
      </c>
      <c r="J939">
        <v>96.82</v>
      </c>
      <c r="K939">
        <v>3</v>
      </c>
      <c r="L939">
        <v>14.523</v>
      </c>
      <c r="M939">
        <v>304.983</v>
      </c>
      <c r="N939" s="1">
        <v>43554</v>
      </c>
      <c r="O939" s="2">
        <v>0.85902777777777772</v>
      </c>
      <c r="P939" t="s">
        <v>30</v>
      </c>
      <c r="Q939">
        <v>290.45999999999998</v>
      </c>
      <c r="R939">
        <v>4.7619047620000003</v>
      </c>
      <c r="S939">
        <v>14.523</v>
      </c>
      <c r="T939">
        <v>6.7</v>
      </c>
    </row>
    <row r="940" spans="1:20" x14ac:dyDescent="0.3">
      <c r="A940">
        <v>794</v>
      </c>
      <c r="C940">
        <v>42</v>
      </c>
      <c r="D940">
        <v>3736</v>
      </c>
      <c r="E940" t="s">
        <v>34</v>
      </c>
      <c r="F940" t="s">
        <v>35</v>
      </c>
      <c r="G940" t="s">
        <v>28</v>
      </c>
      <c r="H940" t="s">
        <v>38</v>
      </c>
      <c r="I940" t="s">
        <v>36</v>
      </c>
      <c r="J940">
        <v>33.33</v>
      </c>
      <c r="K940">
        <v>2</v>
      </c>
      <c r="L940">
        <v>3.3330000000000002</v>
      </c>
      <c r="M940">
        <v>69.992999999999995</v>
      </c>
      <c r="N940" s="1">
        <v>43491</v>
      </c>
      <c r="O940" s="2">
        <v>0.6118055555555556</v>
      </c>
      <c r="P940" t="s">
        <v>32</v>
      </c>
      <c r="Q940">
        <v>66.66</v>
      </c>
      <c r="R940">
        <v>4.7619047620000003</v>
      </c>
      <c r="S940">
        <v>3.3330000000000002</v>
      </c>
      <c r="T940">
        <v>6.4</v>
      </c>
    </row>
    <row r="941" spans="1:20" x14ac:dyDescent="0.3">
      <c r="A941">
        <v>172</v>
      </c>
      <c r="C941">
        <v>42</v>
      </c>
      <c r="D941">
        <v>8274</v>
      </c>
      <c r="E941" t="s">
        <v>34</v>
      </c>
      <c r="F941" t="s">
        <v>35</v>
      </c>
      <c r="G941" t="s">
        <v>28</v>
      </c>
      <c r="H941" t="s">
        <v>23</v>
      </c>
      <c r="I941" t="s">
        <v>29</v>
      </c>
      <c r="J941">
        <v>38.270000000000003</v>
      </c>
      <c r="K941">
        <v>2</v>
      </c>
      <c r="L941">
        <v>3.827</v>
      </c>
      <c r="M941">
        <v>80.367000000000004</v>
      </c>
      <c r="N941" s="1">
        <v>43526</v>
      </c>
      <c r="O941" s="2">
        <v>0.76249999999999996</v>
      </c>
      <c r="P941" t="s">
        <v>32</v>
      </c>
      <c r="Q941">
        <v>76.540000000000006</v>
      </c>
      <c r="R941">
        <v>4.7619047620000003</v>
      </c>
      <c r="S941">
        <v>3.827</v>
      </c>
      <c r="T941">
        <v>5.8</v>
      </c>
    </row>
    <row r="942" spans="1:20" x14ac:dyDescent="0.3">
      <c r="A942">
        <v>558</v>
      </c>
      <c r="C942">
        <v>60</v>
      </c>
      <c r="D942">
        <v>5016</v>
      </c>
      <c r="E942" t="s">
        <v>20</v>
      </c>
      <c r="F942" t="s">
        <v>21</v>
      </c>
      <c r="G942" t="s">
        <v>28</v>
      </c>
      <c r="H942" t="s">
        <v>23</v>
      </c>
      <c r="I942" t="s">
        <v>31</v>
      </c>
      <c r="J942">
        <v>33.299999999999997</v>
      </c>
      <c r="K942">
        <v>9</v>
      </c>
      <c r="L942">
        <v>14.984999999999999</v>
      </c>
      <c r="M942">
        <v>314.685</v>
      </c>
      <c r="N942" s="1">
        <v>43528</v>
      </c>
      <c r="O942" s="2">
        <v>0.64375000000000004</v>
      </c>
      <c r="P942" t="s">
        <v>25</v>
      </c>
      <c r="Q942">
        <v>299.7</v>
      </c>
      <c r="R942">
        <v>4.7619047620000003</v>
      </c>
      <c r="S942">
        <v>14.984999999999999</v>
      </c>
      <c r="T942">
        <v>7.2</v>
      </c>
    </row>
    <row r="943" spans="1:20" x14ac:dyDescent="0.3">
      <c r="A943">
        <v>195</v>
      </c>
      <c r="C943">
        <v>6</v>
      </c>
      <c r="D943">
        <v>432</v>
      </c>
      <c r="E943" t="s">
        <v>20</v>
      </c>
      <c r="F943" t="s">
        <v>21</v>
      </c>
      <c r="G943" t="s">
        <v>22</v>
      </c>
      <c r="H943" t="s">
        <v>38</v>
      </c>
      <c r="I943" t="s">
        <v>31</v>
      </c>
      <c r="J943">
        <v>81.010000000000005</v>
      </c>
      <c r="K943">
        <v>3</v>
      </c>
      <c r="L943">
        <v>12.1515</v>
      </c>
      <c r="M943">
        <v>255.1815</v>
      </c>
      <c r="N943" s="1">
        <v>43478</v>
      </c>
      <c r="O943" s="2">
        <v>0.53819444444444442</v>
      </c>
      <c r="P943" t="s">
        <v>32</v>
      </c>
      <c r="Q943">
        <v>243.03</v>
      </c>
      <c r="R943">
        <v>4.7619047620000003</v>
      </c>
      <c r="S943">
        <v>12.1515</v>
      </c>
      <c r="T943">
        <v>9.3000000000000007</v>
      </c>
    </row>
    <row r="944" spans="1:20" x14ac:dyDescent="0.3">
      <c r="A944">
        <v>605</v>
      </c>
      <c r="C944">
        <v>3</v>
      </c>
      <c r="D944">
        <v>2706</v>
      </c>
      <c r="E944" t="s">
        <v>20</v>
      </c>
      <c r="F944" t="s">
        <v>21</v>
      </c>
      <c r="G944" t="s">
        <v>28</v>
      </c>
      <c r="H944" t="s">
        <v>23</v>
      </c>
      <c r="I944" t="s">
        <v>24</v>
      </c>
      <c r="J944">
        <v>15.8</v>
      </c>
      <c r="K944">
        <v>3</v>
      </c>
      <c r="L944">
        <v>2.37</v>
      </c>
      <c r="M944">
        <v>49.77</v>
      </c>
      <c r="N944" s="1">
        <v>43549</v>
      </c>
      <c r="O944" s="2">
        <v>0.75138888888888888</v>
      </c>
      <c r="P944" t="s">
        <v>30</v>
      </c>
      <c r="Q944">
        <v>47.4</v>
      </c>
      <c r="R944">
        <v>4.7619047620000003</v>
      </c>
      <c r="S944">
        <v>2.37</v>
      </c>
      <c r="T944">
        <v>9.5</v>
      </c>
    </row>
    <row r="945" spans="1:20" x14ac:dyDescent="0.3">
      <c r="A945">
        <v>214</v>
      </c>
      <c r="C945">
        <v>30</v>
      </c>
      <c r="D945">
        <v>2776</v>
      </c>
      <c r="E945" t="s">
        <v>34</v>
      </c>
      <c r="F945" t="s">
        <v>35</v>
      </c>
      <c r="G945" t="s">
        <v>22</v>
      </c>
      <c r="H945" t="s">
        <v>23</v>
      </c>
      <c r="I945" t="s">
        <v>29</v>
      </c>
      <c r="J945">
        <v>34.49</v>
      </c>
      <c r="K945">
        <v>5</v>
      </c>
      <c r="L945">
        <v>8.6225000000000005</v>
      </c>
      <c r="M945">
        <v>181.07249999999999</v>
      </c>
      <c r="N945" s="1">
        <v>43535</v>
      </c>
      <c r="O945" s="2">
        <v>0.82222222222222219</v>
      </c>
      <c r="P945" t="s">
        <v>32</v>
      </c>
      <c r="Q945">
        <v>172.45</v>
      </c>
      <c r="R945">
        <v>4.7619047620000003</v>
      </c>
      <c r="S945">
        <v>8.6225000000000005</v>
      </c>
      <c r="T945">
        <v>9</v>
      </c>
    </row>
    <row r="946" spans="1:20" x14ac:dyDescent="0.3">
      <c r="A946">
        <v>746</v>
      </c>
      <c r="C946">
        <v>4</v>
      </c>
      <c r="D946">
        <v>1077</v>
      </c>
      <c r="E946" t="s">
        <v>34</v>
      </c>
      <c r="F946" t="s">
        <v>35</v>
      </c>
      <c r="G946" t="s">
        <v>22</v>
      </c>
      <c r="H946" t="s">
        <v>23</v>
      </c>
      <c r="I946" t="s">
        <v>36</v>
      </c>
      <c r="J946">
        <v>84.63</v>
      </c>
      <c r="K946">
        <v>10</v>
      </c>
      <c r="L946">
        <v>42.314999999999998</v>
      </c>
      <c r="M946">
        <v>888.61500000000001</v>
      </c>
      <c r="N946" s="1">
        <v>43466</v>
      </c>
      <c r="O946" s="2">
        <v>0.48333333333333334</v>
      </c>
      <c r="P946" t="s">
        <v>32</v>
      </c>
      <c r="Q946">
        <v>846.3</v>
      </c>
      <c r="R946">
        <v>4.7619047620000003</v>
      </c>
      <c r="S946">
        <v>42.314999999999998</v>
      </c>
      <c r="T946">
        <v>9</v>
      </c>
    </row>
    <row r="947" spans="1:20" x14ac:dyDescent="0.3">
      <c r="A947">
        <v>448</v>
      </c>
      <c r="C947">
        <v>34</v>
      </c>
      <c r="D947">
        <v>8700</v>
      </c>
      <c r="E947" t="s">
        <v>34</v>
      </c>
      <c r="F947" t="s">
        <v>35</v>
      </c>
      <c r="G947" t="s">
        <v>22</v>
      </c>
      <c r="H947" t="s">
        <v>38</v>
      </c>
      <c r="I947" t="s">
        <v>31</v>
      </c>
      <c r="J947">
        <v>36.909999999999997</v>
      </c>
      <c r="K947">
        <v>7</v>
      </c>
      <c r="L947">
        <v>12.9185</v>
      </c>
      <c r="M947">
        <v>271.2885</v>
      </c>
      <c r="N947" s="1">
        <v>43506</v>
      </c>
      <c r="O947" s="2">
        <v>0.57708333333333328</v>
      </c>
      <c r="P947" t="s">
        <v>25</v>
      </c>
      <c r="Q947">
        <v>258.37</v>
      </c>
      <c r="R947">
        <v>4.7619047620000003</v>
      </c>
      <c r="S947">
        <v>12.9185</v>
      </c>
      <c r="T947">
        <v>6.7</v>
      </c>
    </row>
    <row r="948" spans="1:20" x14ac:dyDescent="0.3">
      <c r="A948">
        <v>452</v>
      </c>
      <c r="C948">
        <v>4</v>
      </c>
      <c r="D948">
        <v>8808</v>
      </c>
      <c r="E948" t="s">
        <v>34</v>
      </c>
      <c r="F948" t="s">
        <v>35</v>
      </c>
      <c r="G948" t="s">
        <v>28</v>
      </c>
      <c r="H948" t="s">
        <v>38</v>
      </c>
      <c r="I948" t="s">
        <v>29</v>
      </c>
      <c r="J948">
        <v>87.08</v>
      </c>
      <c r="K948">
        <v>7</v>
      </c>
      <c r="L948">
        <v>30.478000000000002</v>
      </c>
      <c r="M948">
        <v>640.03800000000001</v>
      </c>
      <c r="N948" s="1">
        <v>43491</v>
      </c>
      <c r="O948" s="2">
        <v>0.63680555555555551</v>
      </c>
      <c r="P948" t="s">
        <v>30</v>
      </c>
      <c r="Q948">
        <v>609.55999999999995</v>
      </c>
      <c r="R948">
        <v>4.7619047620000003</v>
      </c>
      <c r="S948">
        <v>30.478000000000002</v>
      </c>
      <c r="T948">
        <v>5.5</v>
      </c>
    </row>
    <row r="949" spans="1:20" x14ac:dyDescent="0.3">
      <c r="A949">
        <v>531</v>
      </c>
      <c r="C949">
        <v>56</v>
      </c>
      <c r="D949">
        <v>4728</v>
      </c>
      <c r="E949" t="s">
        <v>20</v>
      </c>
      <c r="F949" t="s">
        <v>21</v>
      </c>
      <c r="G949" t="s">
        <v>28</v>
      </c>
      <c r="H949" t="s">
        <v>38</v>
      </c>
      <c r="I949" t="s">
        <v>31</v>
      </c>
      <c r="J949">
        <v>80.08</v>
      </c>
      <c r="K949">
        <v>3</v>
      </c>
      <c r="L949">
        <v>12.012</v>
      </c>
      <c r="M949">
        <v>252.25200000000001</v>
      </c>
      <c r="N949" s="1">
        <v>43507</v>
      </c>
      <c r="O949" s="2">
        <v>0.64513888888888893</v>
      </c>
      <c r="P949" t="s">
        <v>30</v>
      </c>
      <c r="Q949">
        <v>240.24</v>
      </c>
      <c r="R949">
        <v>4.7619047620000003</v>
      </c>
      <c r="S949">
        <v>12.012</v>
      </c>
      <c r="T949">
        <v>5.4</v>
      </c>
    </row>
    <row r="950" spans="1:20" x14ac:dyDescent="0.3">
      <c r="A950">
        <v>744</v>
      </c>
      <c r="C950">
        <v>82</v>
      </c>
      <c r="D950">
        <v>9138</v>
      </c>
      <c r="E950" t="s">
        <v>26</v>
      </c>
      <c r="F950" t="s">
        <v>27</v>
      </c>
      <c r="G950" t="s">
        <v>28</v>
      </c>
      <c r="H950" t="s">
        <v>38</v>
      </c>
      <c r="I950" t="s">
        <v>37</v>
      </c>
      <c r="J950">
        <v>86.13</v>
      </c>
      <c r="K950">
        <v>2</v>
      </c>
      <c r="L950">
        <v>8.6129999999999995</v>
      </c>
      <c r="M950">
        <v>180.87299999999999</v>
      </c>
      <c r="N950" s="1">
        <v>43503</v>
      </c>
      <c r="O950" s="2">
        <v>0.74930555555555556</v>
      </c>
      <c r="P950" t="s">
        <v>30</v>
      </c>
      <c r="Q950">
        <v>172.26</v>
      </c>
      <c r="R950">
        <v>4.7619047620000003</v>
      </c>
      <c r="S950">
        <v>8.6129999999999995</v>
      </c>
      <c r="T950">
        <v>8.1999999999999993</v>
      </c>
    </row>
    <row r="951" spans="1:20" x14ac:dyDescent="0.3">
      <c r="A951">
        <v>883</v>
      </c>
      <c r="C951">
        <v>69</v>
      </c>
      <c r="D951">
        <v>1285</v>
      </c>
      <c r="E951" t="s">
        <v>34</v>
      </c>
      <c r="F951" t="s">
        <v>35</v>
      </c>
      <c r="G951" t="s">
        <v>22</v>
      </c>
      <c r="H951" t="s">
        <v>38</v>
      </c>
      <c r="I951" t="s">
        <v>37</v>
      </c>
      <c r="J951">
        <v>49.92</v>
      </c>
      <c r="K951">
        <v>2</v>
      </c>
      <c r="L951">
        <v>4.992</v>
      </c>
      <c r="M951">
        <v>104.83199999999999</v>
      </c>
      <c r="N951" s="1">
        <v>43530</v>
      </c>
      <c r="O951" s="2">
        <v>0.49652777777777779</v>
      </c>
      <c r="P951" t="s">
        <v>32</v>
      </c>
      <c r="Q951">
        <v>99.84</v>
      </c>
      <c r="R951">
        <v>4.7619047620000003</v>
      </c>
      <c r="S951">
        <v>4.992</v>
      </c>
      <c r="T951">
        <v>7</v>
      </c>
    </row>
    <row r="952" spans="1:20" x14ac:dyDescent="0.3">
      <c r="A952">
        <v>221</v>
      </c>
      <c r="C952">
        <v>25</v>
      </c>
      <c r="D952">
        <v>5073</v>
      </c>
      <c r="E952" t="s">
        <v>20</v>
      </c>
      <c r="F952" t="s">
        <v>21</v>
      </c>
      <c r="G952" t="s">
        <v>28</v>
      </c>
      <c r="H952" t="s">
        <v>23</v>
      </c>
      <c r="I952" t="s">
        <v>36</v>
      </c>
      <c r="J952">
        <v>74.66</v>
      </c>
      <c r="K952">
        <v>4</v>
      </c>
      <c r="L952">
        <v>14.932</v>
      </c>
      <c r="M952">
        <v>313.572</v>
      </c>
      <c r="N952" s="1">
        <v>43528</v>
      </c>
      <c r="O952" s="2">
        <v>0.44374999999999998</v>
      </c>
      <c r="P952" t="s">
        <v>30</v>
      </c>
      <c r="Q952">
        <v>298.64</v>
      </c>
      <c r="R952">
        <v>4.7619047620000003</v>
      </c>
      <c r="S952">
        <v>14.932</v>
      </c>
      <c r="T952">
        <v>8.5</v>
      </c>
    </row>
    <row r="953" spans="1:20" x14ac:dyDescent="0.3">
      <c r="A953">
        <v>518</v>
      </c>
      <c r="C953">
        <v>71</v>
      </c>
      <c r="D953">
        <v>6847</v>
      </c>
      <c r="E953" t="s">
        <v>34</v>
      </c>
      <c r="F953" t="s">
        <v>35</v>
      </c>
      <c r="G953" t="s">
        <v>22</v>
      </c>
      <c r="H953" t="s">
        <v>38</v>
      </c>
      <c r="I953" t="s">
        <v>36</v>
      </c>
      <c r="J953">
        <v>26.6</v>
      </c>
      <c r="K953">
        <v>6</v>
      </c>
      <c r="L953">
        <v>7.98</v>
      </c>
      <c r="M953">
        <v>167.58</v>
      </c>
      <c r="N953" s="1">
        <v>43522</v>
      </c>
      <c r="O953" s="2">
        <v>0.63194444444444442</v>
      </c>
      <c r="P953" t="s">
        <v>25</v>
      </c>
      <c r="Q953">
        <v>159.6</v>
      </c>
      <c r="R953">
        <v>4.7619047620000003</v>
      </c>
      <c r="S953">
        <v>7.98</v>
      </c>
      <c r="T953">
        <v>4.9000000000000004</v>
      </c>
    </row>
    <row r="954" spans="1:20" x14ac:dyDescent="0.3">
      <c r="A954">
        <v>156</v>
      </c>
      <c r="C954">
        <v>20</v>
      </c>
      <c r="D954">
        <v>370</v>
      </c>
      <c r="E954" t="s">
        <v>34</v>
      </c>
      <c r="F954" t="s">
        <v>35</v>
      </c>
      <c r="G954" t="s">
        <v>28</v>
      </c>
      <c r="H954" t="s">
        <v>23</v>
      </c>
      <c r="I954" t="s">
        <v>29</v>
      </c>
      <c r="J954">
        <v>25.45</v>
      </c>
      <c r="K954">
        <v>1</v>
      </c>
      <c r="L954">
        <v>1.2725</v>
      </c>
      <c r="M954">
        <v>26.7225</v>
      </c>
      <c r="N954" s="1">
        <v>43534</v>
      </c>
      <c r="O954" s="2">
        <v>0.75694444444444442</v>
      </c>
      <c r="P954" t="s">
        <v>32</v>
      </c>
      <c r="Q954">
        <v>25.45</v>
      </c>
      <c r="R954">
        <v>4.7619047620000003</v>
      </c>
      <c r="S954">
        <v>1.2725</v>
      </c>
      <c r="T954">
        <v>5.0999999999999996</v>
      </c>
    </row>
    <row r="955" spans="1:20" x14ac:dyDescent="0.3">
      <c r="A955">
        <v>151</v>
      </c>
      <c r="C955">
        <v>33</v>
      </c>
      <c r="D955">
        <v>7434</v>
      </c>
      <c r="E955" t="s">
        <v>34</v>
      </c>
      <c r="F955" t="s">
        <v>35</v>
      </c>
      <c r="G955" t="s">
        <v>28</v>
      </c>
      <c r="H955" t="s">
        <v>23</v>
      </c>
      <c r="I955" t="s">
        <v>36</v>
      </c>
      <c r="J955">
        <v>67.77</v>
      </c>
      <c r="K955">
        <v>1</v>
      </c>
      <c r="L955">
        <v>3.3885000000000001</v>
      </c>
      <c r="M955">
        <v>71.158500000000004</v>
      </c>
      <c r="N955" s="1">
        <v>43500</v>
      </c>
      <c r="O955" s="2">
        <v>0.86319444444444449</v>
      </c>
      <c r="P955" t="s">
        <v>32</v>
      </c>
      <c r="Q955">
        <v>67.77</v>
      </c>
      <c r="R955">
        <v>4.7619047620000003</v>
      </c>
      <c r="S955">
        <v>3.3885000000000001</v>
      </c>
      <c r="T955">
        <v>6.5</v>
      </c>
    </row>
    <row r="956" spans="1:20" x14ac:dyDescent="0.3">
      <c r="A956">
        <v>728</v>
      </c>
      <c r="C956">
        <v>47</v>
      </c>
      <c r="D956">
        <v>9078</v>
      </c>
      <c r="E956" t="s">
        <v>26</v>
      </c>
      <c r="F956" t="s">
        <v>27</v>
      </c>
      <c r="G956" t="s">
        <v>22</v>
      </c>
      <c r="H956" t="s">
        <v>38</v>
      </c>
      <c r="I956" t="s">
        <v>36</v>
      </c>
      <c r="J956">
        <v>59.59</v>
      </c>
      <c r="K956">
        <v>4</v>
      </c>
      <c r="L956">
        <v>11.917999999999999</v>
      </c>
      <c r="M956">
        <v>250.27799999999999</v>
      </c>
      <c r="N956" s="1">
        <v>43484</v>
      </c>
      <c r="O956" s="2">
        <v>0.53194444444444444</v>
      </c>
      <c r="P956" t="s">
        <v>30</v>
      </c>
      <c r="Q956">
        <v>238.36</v>
      </c>
      <c r="R956">
        <v>4.7619047620000003</v>
      </c>
      <c r="S956">
        <v>11.917999999999999</v>
      </c>
      <c r="T956">
        <v>9.8000000000000007</v>
      </c>
    </row>
    <row r="957" spans="1:20" x14ac:dyDescent="0.3">
      <c r="A957">
        <v>809</v>
      </c>
      <c r="C957">
        <v>46</v>
      </c>
      <c r="D957">
        <v>1866</v>
      </c>
      <c r="E957" t="s">
        <v>20</v>
      </c>
      <c r="F957" t="s">
        <v>21</v>
      </c>
      <c r="G957" t="s">
        <v>28</v>
      </c>
      <c r="H957" t="s">
        <v>38</v>
      </c>
      <c r="I957" t="s">
        <v>24</v>
      </c>
      <c r="J957">
        <v>58.15</v>
      </c>
      <c r="K957">
        <v>4</v>
      </c>
      <c r="L957">
        <v>11.63</v>
      </c>
      <c r="M957">
        <v>244.23</v>
      </c>
      <c r="N957" s="1">
        <v>43488</v>
      </c>
      <c r="O957" s="2">
        <v>0.73888888888888893</v>
      </c>
      <c r="P957" t="s">
        <v>30</v>
      </c>
      <c r="Q957">
        <v>232.6</v>
      </c>
      <c r="R957">
        <v>4.7619047620000003</v>
      </c>
      <c r="S957">
        <v>11.63</v>
      </c>
      <c r="T957">
        <v>8.4</v>
      </c>
    </row>
    <row r="958" spans="1:20" x14ac:dyDescent="0.3">
      <c r="A958">
        <v>139</v>
      </c>
      <c r="C958">
        <v>32</v>
      </c>
      <c r="D958">
        <v>4183</v>
      </c>
      <c r="E958" t="s">
        <v>20</v>
      </c>
      <c r="F958" t="s">
        <v>21</v>
      </c>
      <c r="G958" t="s">
        <v>22</v>
      </c>
      <c r="H958" t="s">
        <v>23</v>
      </c>
      <c r="I958" t="s">
        <v>33</v>
      </c>
      <c r="J958">
        <v>97.48</v>
      </c>
      <c r="K958">
        <v>9</v>
      </c>
      <c r="L958">
        <v>43.866</v>
      </c>
      <c r="M958">
        <v>921.18600000000004</v>
      </c>
      <c r="N958" s="1">
        <v>43538</v>
      </c>
      <c r="O958" s="2">
        <v>0.59652777777777777</v>
      </c>
      <c r="P958" t="s">
        <v>25</v>
      </c>
      <c r="Q958">
        <v>877.32</v>
      </c>
      <c r="R958">
        <v>4.7619047620000003</v>
      </c>
      <c r="S958">
        <v>43.866</v>
      </c>
      <c r="T958">
        <v>7.4</v>
      </c>
    </row>
    <row r="959" spans="1:20" x14ac:dyDescent="0.3">
      <c r="A959">
        <v>148</v>
      </c>
      <c r="C959">
        <v>41</v>
      </c>
      <c r="D959">
        <v>7930</v>
      </c>
      <c r="E959" t="s">
        <v>26</v>
      </c>
      <c r="F959" t="s">
        <v>27</v>
      </c>
      <c r="G959" t="s">
        <v>28</v>
      </c>
      <c r="H959" t="s">
        <v>38</v>
      </c>
      <c r="I959" t="s">
        <v>24</v>
      </c>
      <c r="J959">
        <v>99.96</v>
      </c>
      <c r="K959">
        <v>7</v>
      </c>
      <c r="L959">
        <v>34.985999999999997</v>
      </c>
      <c r="M959">
        <v>734.70600000000002</v>
      </c>
      <c r="N959" s="1">
        <v>43488</v>
      </c>
      <c r="O959" s="2">
        <v>0.43958333333333333</v>
      </c>
      <c r="P959" t="s">
        <v>30</v>
      </c>
      <c r="Q959">
        <v>699.72</v>
      </c>
      <c r="R959">
        <v>4.7619047620000003</v>
      </c>
      <c r="S959">
        <v>34.985999999999997</v>
      </c>
      <c r="T959">
        <v>6.1</v>
      </c>
    </row>
    <row r="960" spans="1:20" x14ac:dyDescent="0.3">
      <c r="A960">
        <v>189</v>
      </c>
      <c r="C960">
        <v>40</v>
      </c>
      <c r="D960">
        <v>5216</v>
      </c>
      <c r="E960" t="s">
        <v>26</v>
      </c>
      <c r="F960" t="s">
        <v>27</v>
      </c>
      <c r="G960" t="s">
        <v>28</v>
      </c>
      <c r="H960" t="s">
        <v>38</v>
      </c>
      <c r="I960" t="s">
        <v>29</v>
      </c>
      <c r="J960">
        <v>96.37</v>
      </c>
      <c r="K960">
        <v>7</v>
      </c>
      <c r="L960">
        <v>33.729500000000002</v>
      </c>
      <c r="M960">
        <v>708.31949999999995</v>
      </c>
      <c r="N960" s="1">
        <v>43474</v>
      </c>
      <c r="O960" s="2">
        <v>0.4861111111111111</v>
      </c>
      <c r="P960" t="s">
        <v>30</v>
      </c>
      <c r="Q960">
        <v>674.59</v>
      </c>
      <c r="R960">
        <v>4.7619047620000003</v>
      </c>
      <c r="S960">
        <v>33.729500000000002</v>
      </c>
      <c r="T960">
        <v>6</v>
      </c>
    </row>
    <row r="961" spans="1:20" x14ac:dyDescent="0.3">
      <c r="A961">
        <v>374</v>
      </c>
      <c r="C961">
        <v>38</v>
      </c>
      <c r="D961">
        <v>5555</v>
      </c>
      <c r="E961" t="s">
        <v>34</v>
      </c>
      <c r="F961" t="s">
        <v>35</v>
      </c>
      <c r="G961" t="s">
        <v>28</v>
      </c>
      <c r="H961" t="s">
        <v>23</v>
      </c>
      <c r="I961" t="s">
        <v>37</v>
      </c>
      <c r="J961">
        <v>63.71</v>
      </c>
      <c r="K961">
        <v>5</v>
      </c>
      <c r="L961">
        <v>15.9275</v>
      </c>
      <c r="M961">
        <v>334.47750000000002</v>
      </c>
      <c r="N961" s="1">
        <v>43503</v>
      </c>
      <c r="O961" s="2">
        <v>0.8125</v>
      </c>
      <c r="P961" t="s">
        <v>25</v>
      </c>
      <c r="Q961">
        <v>318.55</v>
      </c>
      <c r="R961">
        <v>4.7619047620000003</v>
      </c>
      <c r="S961">
        <v>15.9275</v>
      </c>
      <c r="T961">
        <v>8.5</v>
      </c>
    </row>
    <row r="962" spans="1:20" x14ac:dyDescent="0.3">
      <c r="A962">
        <v>764</v>
      </c>
      <c r="C962">
        <v>44</v>
      </c>
      <c r="D962">
        <v>8999</v>
      </c>
      <c r="E962" t="s">
        <v>34</v>
      </c>
      <c r="F962" t="s">
        <v>35</v>
      </c>
      <c r="G962" t="s">
        <v>28</v>
      </c>
      <c r="H962" t="s">
        <v>23</v>
      </c>
      <c r="I962" t="s">
        <v>24</v>
      </c>
      <c r="J962">
        <v>14.76</v>
      </c>
      <c r="K962">
        <v>2</v>
      </c>
      <c r="L962">
        <v>1.476</v>
      </c>
      <c r="M962">
        <v>30.995999999999999</v>
      </c>
      <c r="N962" s="1">
        <v>43514</v>
      </c>
      <c r="O962" s="2">
        <v>0.61250000000000004</v>
      </c>
      <c r="P962" t="s">
        <v>25</v>
      </c>
      <c r="Q962">
        <v>29.52</v>
      </c>
      <c r="R962">
        <v>4.7619047620000003</v>
      </c>
      <c r="S962">
        <v>1.476</v>
      </c>
      <c r="T962">
        <v>4.3</v>
      </c>
    </row>
    <row r="963" spans="1:20" x14ac:dyDescent="0.3">
      <c r="A963">
        <v>552</v>
      </c>
      <c r="C963">
        <v>44</v>
      </c>
      <c r="D963">
        <v>5977</v>
      </c>
      <c r="E963" t="s">
        <v>34</v>
      </c>
      <c r="F963" t="s">
        <v>35</v>
      </c>
      <c r="G963" t="s">
        <v>22</v>
      </c>
      <c r="H963" t="s">
        <v>38</v>
      </c>
      <c r="I963" t="s">
        <v>24</v>
      </c>
      <c r="J963">
        <v>62</v>
      </c>
      <c r="K963">
        <v>8</v>
      </c>
      <c r="L963">
        <v>24.8</v>
      </c>
      <c r="M963">
        <v>520.79999999999995</v>
      </c>
      <c r="N963" s="1">
        <v>43468</v>
      </c>
      <c r="O963" s="2">
        <v>0.79722222222222228</v>
      </c>
      <c r="P963" t="s">
        <v>32</v>
      </c>
      <c r="Q963">
        <v>496</v>
      </c>
      <c r="R963">
        <v>4.7619047620000003</v>
      </c>
      <c r="S963">
        <v>24.8</v>
      </c>
      <c r="T963">
        <v>6.2</v>
      </c>
    </row>
    <row r="964" spans="1:20" x14ac:dyDescent="0.3">
      <c r="A964">
        <v>267</v>
      </c>
      <c r="C964">
        <v>62</v>
      </c>
      <c r="D964">
        <v>7380</v>
      </c>
      <c r="E964" t="s">
        <v>26</v>
      </c>
      <c r="F964" t="s">
        <v>27</v>
      </c>
      <c r="G964" t="s">
        <v>22</v>
      </c>
      <c r="H964" t="s">
        <v>38</v>
      </c>
      <c r="I964" t="s">
        <v>29</v>
      </c>
      <c r="J964">
        <v>82.34</v>
      </c>
      <c r="K964">
        <v>10</v>
      </c>
      <c r="L964">
        <v>41.17</v>
      </c>
      <c r="M964">
        <v>864.57</v>
      </c>
      <c r="N964" s="1">
        <v>43553</v>
      </c>
      <c r="O964" s="2">
        <v>0.8</v>
      </c>
      <c r="P964" t="s">
        <v>25</v>
      </c>
      <c r="Q964">
        <v>823.4</v>
      </c>
      <c r="R964">
        <v>4.7619047620000003</v>
      </c>
      <c r="S964">
        <v>41.17</v>
      </c>
      <c r="T964">
        <v>4.3</v>
      </c>
    </row>
    <row r="965" spans="1:20" x14ac:dyDescent="0.3">
      <c r="A965">
        <v>430</v>
      </c>
      <c r="C965">
        <v>53</v>
      </c>
      <c r="D965">
        <v>4718</v>
      </c>
      <c r="E965" t="s">
        <v>34</v>
      </c>
      <c r="F965" t="s">
        <v>35</v>
      </c>
      <c r="G965" t="s">
        <v>22</v>
      </c>
      <c r="H965" t="s">
        <v>38</v>
      </c>
      <c r="I965" t="s">
        <v>24</v>
      </c>
      <c r="J965">
        <v>75.37</v>
      </c>
      <c r="K965">
        <v>8</v>
      </c>
      <c r="L965">
        <v>30.148</v>
      </c>
      <c r="M965">
        <v>633.10799999999995</v>
      </c>
      <c r="N965" s="1">
        <v>43493</v>
      </c>
      <c r="O965" s="2">
        <v>0.65694444444444444</v>
      </c>
      <c r="P965" t="s">
        <v>32</v>
      </c>
      <c r="Q965">
        <v>602.96</v>
      </c>
      <c r="R965">
        <v>4.7619047620000003</v>
      </c>
      <c r="S965">
        <v>30.148</v>
      </c>
      <c r="T965">
        <v>8.4</v>
      </c>
    </row>
    <row r="966" spans="1:20" x14ac:dyDescent="0.3">
      <c r="A966">
        <v>886</v>
      </c>
      <c r="C966">
        <v>18</v>
      </c>
      <c r="D966">
        <v>2897</v>
      </c>
      <c r="E966" t="s">
        <v>20</v>
      </c>
      <c r="F966" t="s">
        <v>21</v>
      </c>
      <c r="G966" t="s">
        <v>28</v>
      </c>
      <c r="H966" t="s">
        <v>23</v>
      </c>
      <c r="I966" t="s">
        <v>36</v>
      </c>
      <c r="J966">
        <v>56.56</v>
      </c>
      <c r="K966">
        <v>5</v>
      </c>
      <c r="L966">
        <v>14.14</v>
      </c>
      <c r="M966">
        <v>296.94</v>
      </c>
      <c r="N966" s="1">
        <v>43546</v>
      </c>
      <c r="O966" s="2">
        <v>0.79583333333333328</v>
      </c>
      <c r="P966" t="s">
        <v>32</v>
      </c>
      <c r="Q966">
        <v>282.8</v>
      </c>
      <c r="R966">
        <v>4.7619047620000003</v>
      </c>
      <c r="S966">
        <v>14.14</v>
      </c>
      <c r="T966">
        <v>4.5</v>
      </c>
    </row>
    <row r="967" spans="1:20" x14ac:dyDescent="0.3">
      <c r="A967">
        <v>602</v>
      </c>
      <c r="C967">
        <v>16</v>
      </c>
      <c r="D967">
        <v>6955</v>
      </c>
      <c r="E967" t="s">
        <v>34</v>
      </c>
      <c r="F967" t="s">
        <v>35</v>
      </c>
      <c r="G967" t="s">
        <v>28</v>
      </c>
      <c r="H967" t="s">
        <v>23</v>
      </c>
      <c r="I967" t="s">
        <v>33</v>
      </c>
      <c r="J967">
        <v>76.599999999999994</v>
      </c>
      <c r="K967">
        <v>10</v>
      </c>
      <c r="L967">
        <v>38.299999999999997</v>
      </c>
      <c r="M967">
        <v>804.3</v>
      </c>
      <c r="N967" s="1">
        <v>43489</v>
      </c>
      <c r="O967" s="2">
        <v>0.75694444444444442</v>
      </c>
      <c r="P967" t="s">
        <v>25</v>
      </c>
      <c r="Q967">
        <v>766</v>
      </c>
      <c r="R967">
        <v>4.7619047620000003</v>
      </c>
      <c r="S967">
        <v>38.299999999999997</v>
      </c>
      <c r="T967">
        <v>6</v>
      </c>
    </row>
    <row r="968" spans="1:20" x14ac:dyDescent="0.3">
      <c r="A968">
        <v>745</v>
      </c>
      <c r="C968">
        <v>74</v>
      </c>
      <c r="D968">
        <v>715</v>
      </c>
      <c r="E968" t="s">
        <v>20</v>
      </c>
      <c r="F968" t="s">
        <v>21</v>
      </c>
      <c r="G968" t="s">
        <v>28</v>
      </c>
      <c r="H968" t="s">
        <v>38</v>
      </c>
      <c r="I968" t="s">
        <v>29</v>
      </c>
      <c r="J968">
        <v>58.03</v>
      </c>
      <c r="K968">
        <v>2</v>
      </c>
      <c r="L968">
        <v>5.8029999999999999</v>
      </c>
      <c r="M968">
        <v>121.863</v>
      </c>
      <c r="N968" s="1">
        <v>43534</v>
      </c>
      <c r="O968" s="2">
        <v>0.86527777777777781</v>
      </c>
      <c r="P968" t="s">
        <v>25</v>
      </c>
      <c r="Q968">
        <v>116.06</v>
      </c>
      <c r="R968">
        <v>4.7619047620000003</v>
      </c>
      <c r="S968">
        <v>5.8029999999999999</v>
      </c>
      <c r="T968">
        <v>8.8000000000000007</v>
      </c>
    </row>
    <row r="969" spans="1:20" x14ac:dyDescent="0.3">
      <c r="A969">
        <v>690</v>
      </c>
      <c r="C969">
        <v>1</v>
      </c>
      <c r="D969">
        <v>6631</v>
      </c>
      <c r="E969" t="s">
        <v>34</v>
      </c>
      <c r="F969" t="s">
        <v>35</v>
      </c>
      <c r="G969" t="s">
        <v>28</v>
      </c>
      <c r="H969" t="s">
        <v>38</v>
      </c>
      <c r="I969" t="s">
        <v>37</v>
      </c>
      <c r="J969">
        <v>17.489999999999998</v>
      </c>
      <c r="K969">
        <v>10</v>
      </c>
      <c r="L969">
        <v>8.7449999999999992</v>
      </c>
      <c r="M969">
        <v>183.64500000000001</v>
      </c>
      <c r="N969" s="1">
        <v>43518</v>
      </c>
      <c r="O969" s="2">
        <v>0.77430555555555558</v>
      </c>
      <c r="P969" t="s">
        <v>25</v>
      </c>
      <c r="Q969">
        <v>174.9</v>
      </c>
      <c r="R969">
        <v>4.7619047620000003</v>
      </c>
      <c r="S969">
        <v>8.7449999999999992</v>
      </c>
      <c r="T969">
        <v>6.6</v>
      </c>
    </row>
    <row r="970" spans="1:20" x14ac:dyDescent="0.3">
      <c r="A970">
        <v>652</v>
      </c>
      <c r="C970">
        <v>49</v>
      </c>
      <c r="D970">
        <v>6720</v>
      </c>
      <c r="E970" t="s">
        <v>26</v>
      </c>
      <c r="F970" t="s">
        <v>27</v>
      </c>
      <c r="G970" t="s">
        <v>22</v>
      </c>
      <c r="H970" t="s">
        <v>23</v>
      </c>
      <c r="I970" t="s">
        <v>29</v>
      </c>
      <c r="J970">
        <v>60.95</v>
      </c>
      <c r="K970">
        <v>1</v>
      </c>
      <c r="L970">
        <v>3.0474999999999999</v>
      </c>
      <c r="M970">
        <v>63.997500000000002</v>
      </c>
      <c r="N970" s="1">
        <v>43514</v>
      </c>
      <c r="O970" s="2">
        <v>0.4861111111111111</v>
      </c>
      <c r="P970" t="s">
        <v>25</v>
      </c>
      <c r="Q970">
        <v>60.95</v>
      </c>
      <c r="R970">
        <v>4.7619047620000003</v>
      </c>
      <c r="S970">
        <v>3.0474999999999999</v>
      </c>
      <c r="T970">
        <v>5.9</v>
      </c>
    </row>
    <row r="971" spans="1:20" x14ac:dyDescent="0.3">
      <c r="A971">
        <v>233</v>
      </c>
      <c r="C971">
        <v>67</v>
      </c>
      <c r="D971">
        <v>5758</v>
      </c>
      <c r="E971" t="s">
        <v>26</v>
      </c>
      <c r="F971" t="s">
        <v>27</v>
      </c>
      <c r="G971" t="s">
        <v>28</v>
      </c>
      <c r="H971" t="s">
        <v>38</v>
      </c>
      <c r="I971" t="s">
        <v>24</v>
      </c>
      <c r="J971">
        <v>40.35</v>
      </c>
      <c r="K971">
        <v>1</v>
      </c>
      <c r="L971">
        <v>2.0175000000000001</v>
      </c>
      <c r="M971">
        <v>42.3675</v>
      </c>
      <c r="N971" s="1">
        <v>43494</v>
      </c>
      <c r="O971" s="2">
        <v>0.57361111111111107</v>
      </c>
      <c r="P971" t="s">
        <v>25</v>
      </c>
      <c r="Q971">
        <v>40.35</v>
      </c>
      <c r="R971">
        <v>4.7619047620000003</v>
      </c>
      <c r="S971">
        <v>2.0175000000000001</v>
      </c>
      <c r="T971">
        <v>6.2</v>
      </c>
    </row>
    <row r="972" spans="1:20" x14ac:dyDescent="0.3">
      <c r="A972">
        <v>303</v>
      </c>
      <c r="C972">
        <v>96</v>
      </c>
      <c r="D972">
        <v>2227</v>
      </c>
      <c r="E972" t="s">
        <v>34</v>
      </c>
      <c r="F972" t="s">
        <v>35</v>
      </c>
      <c r="G972" t="s">
        <v>28</v>
      </c>
      <c r="H972" t="s">
        <v>23</v>
      </c>
      <c r="I972" t="s">
        <v>31</v>
      </c>
      <c r="J972">
        <v>97.38</v>
      </c>
      <c r="K972">
        <v>10</v>
      </c>
      <c r="L972">
        <v>48.69</v>
      </c>
      <c r="M972">
        <v>1022.49</v>
      </c>
      <c r="N972" s="1">
        <v>43526</v>
      </c>
      <c r="O972" s="2">
        <v>0.71944444444444444</v>
      </c>
      <c r="P972" t="s">
        <v>25</v>
      </c>
      <c r="Q972">
        <v>973.8</v>
      </c>
      <c r="R972">
        <v>4.7619047620000003</v>
      </c>
      <c r="S972">
        <v>48.69</v>
      </c>
      <c r="T972">
        <v>4.4000000000000004</v>
      </c>
    </row>
    <row r="973" spans="1:20" x14ac:dyDescent="0.3">
      <c r="A973">
        <v>727</v>
      </c>
      <c r="C973">
        <v>2</v>
      </c>
      <c r="D973">
        <v>1313</v>
      </c>
      <c r="E973" t="s">
        <v>20</v>
      </c>
      <c r="F973" t="s">
        <v>21</v>
      </c>
      <c r="G973" t="s">
        <v>22</v>
      </c>
      <c r="H973" t="s">
        <v>38</v>
      </c>
      <c r="I973" t="s">
        <v>36</v>
      </c>
      <c r="J973">
        <v>31.84</v>
      </c>
      <c r="K973">
        <v>1</v>
      </c>
      <c r="L973">
        <v>1.5920000000000001</v>
      </c>
      <c r="M973">
        <v>33.432000000000002</v>
      </c>
      <c r="N973" s="1">
        <v>43505</v>
      </c>
      <c r="O973" s="2">
        <v>0.55694444444444446</v>
      </c>
      <c r="P973" t="s">
        <v>30</v>
      </c>
      <c r="Q973">
        <v>31.84</v>
      </c>
      <c r="R973">
        <v>4.7619047620000003</v>
      </c>
      <c r="S973">
        <v>1.5920000000000001</v>
      </c>
      <c r="T973">
        <v>7.7</v>
      </c>
    </row>
    <row r="974" spans="1:20" x14ac:dyDescent="0.3">
      <c r="A974">
        <v>347</v>
      </c>
      <c r="C974">
        <v>56</v>
      </c>
      <c r="D974">
        <v>2442</v>
      </c>
      <c r="E974" t="s">
        <v>20</v>
      </c>
      <c r="F974" t="s">
        <v>21</v>
      </c>
      <c r="G974" t="s">
        <v>28</v>
      </c>
      <c r="H974" t="s">
        <v>38</v>
      </c>
      <c r="I974" t="s">
        <v>31</v>
      </c>
      <c r="J974">
        <v>65.819999999999993</v>
      </c>
      <c r="K974">
        <v>1</v>
      </c>
      <c r="L974">
        <v>3.2909999999999999</v>
      </c>
      <c r="M974">
        <v>69.111000000000004</v>
      </c>
      <c r="N974" s="1">
        <v>43518</v>
      </c>
      <c r="O974" s="2">
        <v>0.6479166666666667</v>
      </c>
      <c r="P974" t="s">
        <v>30</v>
      </c>
      <c r="Q974">
        <v>65.819999999999993</v>
      </c>
      <c r="R974">
        <v>4.7619047620000003</v>
      </c>
      <c r="S974">
        <v>3.2909999999999999</v>
      </c>
      <c r="T974">
        <v>4.0999999999999996</v>
      </c>
    </row>
    <row r="975" spans="1:20" x14ac:dyDescent="0.3">
      <c r="A975">
        <v>849</v>
      </c>
      <c r="C975">
        <v>9</v>
      </c>
      <c r="D975">
        <v>3807</v>
      </c>
      <c r="E975" t="s">
        <v>20</v>
      </c>
      <c r="F975" t="s">
        <v>21</v>
      </c>
      <c r="G975" t="s">
        <v>22</v>
      </c>
      <c r="H975" t="s">
        <v>23</v>
      </c>
      <c r="I975" t="s">
        <v>37</v>
      </c>
      <c r="J975">
        <v>88.34</v>
      </c>
      <c r="K975">
        <v>7</v>
      </c>
      <c r="L975">
        <v>30.919</v>
      </c>
      <c r="M975">
        <v>649.29899999999998</v>
      </c>
      <c r="N975" s="1">
        <v>43514</v>
      </c>
      <c r="O975" s="2">
        <v>0.56111111111111112</v>
      </c>
      <c r="P975" t="s">
        <v>30</v>
      </c>
      <c r="Q975">
        <v>618.38</v>
      </c>
      <c r="R975">
        <v>4.7619047620000003</v>
      </c>
      <c r="S975">
        <v>30.919</v>
      </c>
      <c r="T975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5377-F01D-4192-9F20-06574C0A2F84}">
  <dimension ref="A1:B45"/>
  <sheetViews>
    <sheetView topLeftCell="A31" workbookViewId="0">
      <selection activeCell="A45" sqref="A45"/>
    </sheetView>
  </sheetViews>
  <sheetFormatPr defaultRowHeight="14.4" x14ac:dyDescent="0.3"/>
  <cols>
    <col min="1" max="1" width="62.5546875" bestFit="1" customWidth="1"/>
    <col min="2" max="2" width="12" bestFit="1" customWidth="1"/>
  </cols>
  <sheetData>
    <row r="1" spans="1:2" x14ac:dyDescent="0.3">
      <c r="A1" s="6" t="s">
        <v>68</v>
      </c>
    </row>
    <row r="2" spans="1:2" x14ac:dyDescent="0.3">
      <c r="A2" s="6" t="s">
        <v>63</v>
      </c>
      <c r="B2" s="11">
        <f>AVERAGE('Clean data'!M:M)</f>
        <v>322.26042659137602</v>
      </c>
    </row>
    <row r="3" spans="1:2" x14ac:dyDescent="0.3">
      <c r="A3" s="6" t="s">
        <v>50</v>
      </c>
      <c r="B3" s="10">
        <f>_xlfn.STDEV.S('Clean data'!M:M)</f>
        <v>245.65537643813323</v>
      </c>
    </row>
    <row r="4" spans="1:2" x14ac:dyDescent="0.3">
      <c r="A4" s="6" t="s">
        <v>64</v>
      </c>
      <c r="B4" s="12">
        <f>_xlfn.NORM.DIST(500,B2,B3,TRUE)</f>
        <v>0.76532350870399024</v>
      </c>
    </row>
    <row r="5" spans="1:2" x14ac:dyDescent="0.3">
      <c r="A5" s="6" t="s">
        <v>65</v>
      </c>
      <c r="B5" s="12">
        <f>1-_xlfn.NORM.DIST(800,B2,B3,TRUE)</f>
        <v>2.5902223543552538E-2</v>
      </c>
    </row>
    <row r="7" spans="1:2" x14ac:dyDescent="0.3">
      <c r="A7" s="6" t="s">
        <v>66</v>
      </c>
    </row>
    <row r="8" spans="1:2" ht="57.6" x14ac:dyDescent="0.3">
      <c r="A8" s="13" t="s">
        <v>67</v>
      </c>
    </row>
    <row r="11" spans="1:2" x14ac:dyDescent="0.3">
      <c r="A11" s="6" t="s">
        <v>69</v>
      </c>
    </row>
    <row r="12" spans="1:2" x14ac:dyDescent="0.3">
      <c r="A12" t="s">
        <v>70</v>
      </c>
      <c r="B12" s="5">
        <v>0.31</v>
      </c>
    </row>
    <row r="13" spans="1:2" x14ac:dyDescent="0.3">
      <c r="A13" t="s">
        <v>71</v>
      </c>
      <c r="B13">
        <v>20</v>
      </c>
    </row>
    <row r="14" spans="1:2" x14ac:dyDescent="0.3">
      <c r="A14" t="s">
        <v>72</v>
      </c>
      <c r="B14">
        <v>50</v>
      </c>
    </row>
    <row r="15" spans="1:2" x14ac:dyDescent="0.3">
      <c r="A15" t="s">
        <v>73</v>
      </c>
      <c r="B15" s="12">
        <f>_xlfn.BINOM.DIST(B13,B14,B12,FALSE)</f>
        <v>4.6344348303966346E-2</v>
      </c>
    </row>
    <row r="18" spans="1:2" x14ac:dyDescent="0.3">
      <c r="A18" s="6" t="s">
        <v>74</v>
      </c>
    </row>
    <row r="19" spans="1:2" x14ac:dyDescent="0.3">
      <c r="A19" t="s">
        <v>75</v>
      </c>
      <c r="B19">
        <v>10</v>
      </c>
    </row>
    <row r="20" spans="1:2" x14ac:dyDescent="0.3">
      <c r="A20" t="s">
        <v>76</v>
      </c>
      <c r="B20">
        <v>0</v>
      </c>
    </row>
    <row r="21" spans="1:2" x14ac:dyDescent="0.3">
      <c r="A21" t="s">
        <v>77</v>
      </c>
      <c r="B21" s="12">
        <f>_xlfn.BINOM.DIST(B20,B19,B12,FALSE)</f>
        <v>2.4461940606547609E-2</v>
      </c>
    </row>
    <row r="24" spans="1:2" x14ac:dyDescent="0.3">
      <c r="A24" s="6" t="s">
        <v>78</v>
      </c>
    </row>
    <row r="25" spans="1:2" x14ac:dyDescent="0.3">
      <c r="A25" t="s">
        <v>79</v>
      </c>
      <c r="B25">
        <f>ROWS('Clean data'!2:975)/COUNT(_xlfn.UNIQUE(Clean_data[Date]))</f>
        <v>10.943820224719101</v>
      </c>
    </row>
    <row r="26" spans="1:2" x14ac:dyDescent="0.3">
      <c r="A26" t="s">
        <v>80</v>
      </c>
      <c r="B26">
        <f>_xlfn.POISSON.DIST(85,B25,FALSE)</f>
        <v>1.3388044197621462E-45</v>
      </c>
    </row>
    <row r="27" spans="1:2" x14ac:dyDescent="0.3">
      <c r="A27" t="s">
        <v>81</v>
      </c>
      <c r="B27">
        <f>_xlfn.POISSON.DIST(120,B25,FALSE)</f>
        <v>1.3244618285259481E-79</v>
      </c>
    </row>
    <row r="30" spans="1:2" x14ac:dyDescent="0.3">
      <c r="A30" s="6" t="s">
        <v>82</v>
      </c>
    </row>
    <row r="31" spans="1:2" ht="57.6" x14ac:dyDescent="0.3">
      <c r="A31" s="13" t="s">
        <v>83</v>
      </c>
    </row>
    <row r="33" spans="1:2" x14ac:dyDescent="0.3">
      <c r="A33" s="6" t="s">
        <v>84</v>
      </c>
    </row>
    <row r="34" spans="1:2" x14ac:dyDescent="0.3">
      <c r="A34" t="s">
        <v>85</v>
      </c>
      <c r="B34">
        <f>1/45</f>
        <v>2.2222222222222223E-2</v>
      </c>
    </row>
    <row r="35" spans="1:2" x14ac:dyDescent="0.3">
      <c r="A35" t="s">
        <v>86</v>
      </c>
      <c r="B35" s="12">
        <f>1-EXP(-20*B34)</f>
        <v>0.35881961157004538</v>
      </c>
    </row>
    <row r="36" spans="1:2" x14ac:dyDescent="0.3">
      <c r="A36" t="s">
        <v>87</v>
      </c>
      <c r="B36" s="12">
        <f>EXP(-60*B34)</f>
        <v>0.26359713811572671</v>
      </c>
    </row>
    <row r="39" spans="1:2" x14ac:dyDescent="0.3">
      <c r="A39" s="6" t="s">
        <v>88</v>
      </c>
    </row>
    <row r="40" spans="1:2" x14ac:dyDescent="0.3">
      <c r="A40" t="s">
        <v>89</v>
      </c>
      <c r="B40">
        <f>300</f>
        <v>300</v>
      </c>
    </row>
    <row r="41" spans="1:2" x14ac:dyDescent="0.3">
      <c r="A41" t="s">
        <v>90</v>
      </c>
      <c r="B41">
        <f>1/B40</f>
        <v>3.3333333333333335E-3</v>
      </c>
    </row>
    <row r="42" spans="1:2" x14ac:dyDescent="0.3">
      <c r="A42" t="s">
        <v>91</v>
      </c>
      <c r="B42">
        <f>1/B40</f>
        <v>3.3333333333333335E-3</v>
      </c>
    </row>
    <row r="44" spans="1:2" x14ac:dyDescent="0.3">
      <c r="A44" t="s">
        <v>92</v>
      </c>
    </row>
    <row r="45" spans="1:2" x14ac:dyDescent="0.3">
      <c r="A4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F439-26F2-4A83-8437-1B22BEF7EC7C}">
  <dimension ref="A1:A30"/>
  <sheetViews>
    <sheetView workbookViewId="0">
      <selection activeCell="A2" sqref="A2"/>
    </sheetView>
  </sheetViews>
  <sheetFormatPr defaultRowHeight="14.4" x14ac:dyDescent="0.3"/>
  <cols>
    <col min="1" max="1" width="119" bestFit="1" customWidth="1"/>
  </cols>
  <sheetData>
    <row r="1" spans="1:1" x14ac:dyDescent="0.3">
      <c r="A1" t="s">
        <v>93</v>
      </c>
    </row>
    <row r="2" spans="1:1" x14ac:dyDescent="0.3">
      <c r="A2" t="s">
        <v>94</v>
      </c>
    </row>
    <row r="5" spans="1:1" x14ac:dyDescent="0.3">
      <c r="A5" t="s">
        <v>95</v>
      </c>
    </row>
    <row r="6" spans="1:1" x14ac:dyDescent="0.3">
      <c r="A6" t="s">
        <v>96</v>
      </c>
    </row>
    <row r="9" spans="1:1" x14ac:dyDescent="0.3">
      <c r="A9" t="s">
        <v>97</v>
      </c>
    </row>
    <row r="10" spans="1:1" x14ac:dyDescent="0.3">
      <c r="A10" t="s">
        <v>98</v>
      </c>
    </row>
    <row r="13" spans="1:1" x14ac:dyDescent="0.3">
      <c r="A13" t="s">
        <v>99</v>
      </c>
    </row>
    <row r="14" spans="1:1" x14ac:dyDescent="0.3">
      <c r="A14" t="s">
        <v>100</v>
      </c>
    </row>
    <row r="15" spans="1:1" x14ac:dyDescent="0.3">
      <c r="A15" s="7"/>
    </row>
    <row r="17" spans="1:1" x14ac:dyDescent="0.3">
      <c r="A17" t="s">
        <v>101</v>
      </c>
    </row>
    <row r="18" spans="1:1" x14ac:dyDescent="0.3">
      <c r="A18" t="s">
        <v>102</v>
      </c>
    </row>
    <row r="21" spans="1:1" x14ac:dyDescent="0.3">
      <c r="A21" t="s">
        <v>95</v>
      </c>
    </row>
    <row r="22" spans="1:1" x14ac:dyDescent="0.3">
      <c r="A22" t="s">
        <v>103</v>
      </c>
    </row>
    <row r="25" spans="1:1" x14ac:dyDescent="0.3">
      <c r="A25" t="s">
        <v>104</v>
      </c>
    </row>
    <row r="26" spans="1:1" x14ac:dyDescent="0.3">
      <c r="A26" t="s">
        <v>105</v>
      </c>
    </row>
    <row r="29" spans="1:1" x14ac:dyDescent="0.3">
      <c r="A29" t="s">
        <v>106</v>
      </c>
    </row>
    <row r="30" spans="1:1" x14ac:dyDescent="0.3">
      <c r="A30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F879-4095-4D33-B4A8-39FF6494A8C8}">
  <dimension ref="A1:M70"/>
  <sheetViews>
    <sheetView topLeftCell="A201" zoomScale="85" zoomScaleNormal="85" workbookViewId="0">
      <selection activeCell="A51" sqref="A51"/>
    </sheetView>
  </sheetViews>
  <sheetFormatPr defaultRowHeight="14.4" x14ac:dyDescent="0.3"/>
  <cols>
    <col min="1" max="1" width="19.21875" bestFit="1" customWidth="1"/>
    <col min="4" max="4" width="63.5546875" customWidth="1"/>
    <col min="13" max="13" width="15.33203125" bestFit="1" customWidth="1"/>
  </cols>
  <sheetData>
    <row r="1" spans="1:1" x14ac:dyDescent="0.3">
      <c r="A1" s="6" t="s">
        <v>57</v>
      </c>
    </row>
    <row r="19" spans="1:1" x14ac:dyDescent="0.3">
      <c r="A19" s="6" t="s">
        <v>58</v>
      </c>
    </row>
    <row r="37" spans="1:1" x14ac:dyDescent="0.3">
      <c r="A37" s="6" t="s">
        <v>59</v>
      </c>
    </row>
    <row r="53" spans="1:13" x14ac:dyDescent="0.3">
      <c r="M53" s="8"/>
    </row>
    <row r="57" spans="1:13" x14ac:dyDescent="0.3">
      <c r="A57" s="6" t="s">
        <v>60</v>
      </c>
    </row>
    <row r="68" spans="4:13" x14ac:dyDescent="0.3">
      <c r="M68" s="14"/>
    </row>
    <row r="70" spans="4:13" ht="43.2" x14ac:dyDescent="0.3">
      <c r="D70" s="9" t="s">
        <v>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C057-F03B-42BB-89E8-0C3EF1DD833D}">
  <dimension ref="A1:C86"/>
  <sheetViews>
    <sheetView tabSelected="1" workbookViewId="0">
      <selection activeCell="B20" sqref="B20"/>
    </sheetView>
  </sheetViews>
  <sheetFormatPr defaultRowHeight="14.4" x14ac:dyDescent="0.3"/>
  <cols>
    <col min="1" max="1" width="31.88671875" bestFit="1" customWidth="1"/>
  </cols>
  <sheetData>
    <row r="1" spans="1:3" x14ac:dyDescent="0.3">
      <c r="A1" s="6" t="s">
        <v>40</v>
      </c>
    </row>
    <row r="2" spans="1:3" x14ac:dyDescent="0.3">
      <c r="A2" s="6" t="s">
        <v>39</v>
      </c>
      <c r="C2">
        <f>AVERAGE(Clean_data[Sales])</f>
        <v>322.26042659137602</v>
      </c>
    </row>
    <row r="3" spans="1:3" x14ac:dyDescent="0.3">
      <c r="A3" s="6" t="s">
        <v>41</v>
      </c>
      <c r="C3">
        <f>MEDIAN(Clean_data[Sales])</f>
        <v>253.386</v>
      </c>
    </row>
    <row r="4" spans="1:3" x14ac:dyDescent="0.3">
      <c r="A4" s="6" t="s">
        <v>45</v>
      </c>
      <c r="C4">
        <f>_xlfn.MODE.SNGL(Clean_data[Sales])</f>
        <v>829.08</v>
      </c>
    </row>
    <row r="5" spans="1:3" x14ac:dyDescent="0.3">
      <c r="A5" s="6" t="s">
        <v>44</v>
      </c>
      <c r="C5" cm="1">
        <f t="array" ref="C5:C14">_xlfn.MODE.MULT(Clean_data[Sales])</f>
        <v>829.08</v>
      </c>
    </row>
    <row r="6" spans="1:3" x14ac:dyDescent="0.3">
      <c r="C6">
        <v>189.09450000000001</v>
      </c>
    </row>
    <row r="7" spans="1:3" x14ac:dyDescent="0.3">
      <c r="C7">
        <v>216.846</v>
      </c>
    </row>
    <row r="8" spans="1:3" x14ac:dyDescent="0.3">
      <c r="C8">
        <v>263.97000000000003</v>
      </c>
    </row>
    <row r="9" spans="1:3" x14ac:dyDescent="0.3">
      <c r="C9">
        <v>217.6335</v>
      </c>
    </row>
    <row r="10" spans="1:3" x14ac:dyDescent="0.3">
      <c r="C10">
        <v>276.94799999999998</v>
      </c>
    </row>
    <row r="11" spans="1:3" x14ac:dyDescent="0.3">
      <c r="C11">
        <v>87.233999999999995</v>
      </c>
    </row>
    <row r="12" spans="1:3" x14ac:dyDescent="0.3">
      <c r="C12">
        <v>175.917</v>
      </c>
    </row>
    <row r="13" spans="1:3" x14ac:dyDescent="0.3">
      <c r="C13">
        <v>470.988</v>
      </c>
    </row>
    <row r="14" spans="1:3" x14ac:dyDescent="0.3">
      <c r="C14">
        <v>93.744</v>
      </c>
    </row>
    <row r="17" spans="1:3" x14ac:dyDescent="0.3">
      <c r="A17" s="6" t="s">
        <v>42</v>
      </c>
    </row>
    <row r="18" spans="1:3" x14ac:dyDescent="0.3">
      <c r="A18" t="s">
        <v>43</v>
      </c>
      <c r="B18">
        <f>_xlfn.VAR.S(Clean_data[Rating])</f>
        <v>2.9636181415676597</v>
      </c>
    </row>
    <row r="19" spans="1:3" x14ac:dyDescent="0.3">
      <c r="A19" t="s">
        <v>46</v>
      </c>
      <c r="B19">
        <f>_xlfn.STDEV.S(Clean_data[Rating])</f>
        <v>1.7215162333151726</v>
      </c>
    </row>
    <row r="22" spans="1:3" x14ac:dyDescent="0.3">
      <c r="A22" s="6" t="s">
        <v>47</v>
      </c>
      <c r="C22" t="s">
        <v>48</v>
      </c>
    </row>
    <row r="23" spans="1:3" x14ac:dyDescent="0.3">
      <c r="A23" t="s">
        <v>49</v>
      </c>
      <c r="B23">
        <f>AVERAGE(C23:C82)</f>
        <v>344.46229999999997</v>
      </c>
      <c r="C23" s="3">
        <v>548.97149999999999</v>
      </c>
    </row>
    <row r="24" spans="1:3" x14ac:dyDescent="0.3">
      <c r="A24" t="s">
        <v>50</v>
      </c>
      <c r="B24">
        <f>_xlfn.STDEV.S(C23:C82)</f>
        <v>241.24684123361416</v>
      </c>
      <c r="C24" s="4">
        <v>80.22</v>
      </c>
    </row>
    <row r="25" spans="1:3" x14ac:dyDescent="0.3">
      <c r="A25" t="s">
        <v>51</v>
      </c>
      <c r="B25">
        <v>60</v>
      </c>
      <c r="C25" s="3">
        <v>340.52550000000002</v>
      </c>
    </row>
    <row r="26" spans="1:3" x14ac:dyDescent="0.3">
      <c r="A26" t="s">
        <v>52</v>
      </c>
      <c r="B26">
        <v>1.96</v>
      </c>
      <c r="C26" s="4">
        <v>634.37850000000003</v>
      </c>
    </row>
    <row r="27" spans="1:3" x14ac:dyDescent="0.3">
      <c r="A27" t="s">
        <v>53</v>
      </c>
      <c r="B27" s="5">
        <v>0.95</v>
      </c>
      <c r="C27" s="3">
        <v>627.61649999999997</v>
      </c>
    </row>
    <row r="28" spans="1:3" x14ac:dyDescent="0.3">
      <c r="A28" t="s">
        <v>54</v>
      </c>
      <c r="B28">
        <f>B24/SQRT(B25)</f>
        <v>31.144833280764413</v>
      </c>
      <c r="C28" s="4">
        <v>433.69200000000001</v>
      </c>
    </row>
    <row r="29" spans="1:3" x14ac:dyDescent="0.3">
      <c r="A29" t="s">
        <v>55</v>
      </c>
      <c r="B29">
        <f>B26*B28</f>
        <v>61.043873230298246</v>
      </c>
      <c r="C29" s="3">
        <v>772.38</v>
      </c>
    </row>
    <row r="30" spans="1:3" x14ac:dyDescent="0.3">
      <c r="C30" s="4">
        <v>76.146000000000001</v>
      </c>
    </row>
    <row r="31" spans="1:3" x14ac:dyDescent="0.3">
      <c r="C31" s="3">
        <v>172.74600000000001</v>
      </c>
    </row>
    <row r="32" spans="1:3" x14ac:dyDescent="0.3">
      <c r="C32" s="4">
        <v>60.816000000000003</v>
      </c>
    </row>
    <row r="33" spans="3:3" x14ac:dyDescent="0.3">
      <c r="C33" s="3">
        <v>107.142</v>
      </c>
    </row>
    <row r="34" spans="3:3" x14ac:dyDescent="0.3">
      <c r="C34" s="4">
        <v>246.48750000000001</v>
      </c>
    </row>
    <row r="35" spans="3:3" x14ac:dyDescent="0.3">
      <c r="C35" s="3">
        <v>453.495</v>
      </c>
    </row>
    <row r="36" spans="3:3" x14ac:dyDescent="0.3">
      <c r="C36" s="4">
        <v>590.43600000000004</v>
      </c>
    </row>
    <row r="37" spans="3:3" x14ac:dyDescent="0.3">
      <c r="C37" s="3">
        <v>506.63549999999998</v>
      </c>
    </row>
    <row r="38" spans="3:3" x14ac:dyDescent="0.3">
      <c r="C38" s="4">
        <v>457.44299999999998</v>
      </c>
    </row>
    <row r="39" spans="3:3" x14ac:dyDescent="0.3">
      <c r="C39" s="3">
        <v>172.2105</v>
      </c>
    </row>
    <row r="40" spans="3:3" x14ac:dyDescent="0.3">
      <c r="C40" s="4">
        <v>84.63</v>
      </c>
    </row>
    <row r="41" spans="3:3" x14ac:dyDescent="0.3">
      <c r="C41" s="3">
        <v>451.71</v>
      </c>
    </row>
    <row r="42" spans="3:3" x14ac:dyDescent="0.3">
      <c r="C42" s="4">
        <v>277.137</v>
      </c>
    </row>
    <row r="43" spans="3:3" x14ac:dyDescent="0.3">
      <c r="C43" s="3">
        <v>181.44</v>
      </c>
    </row>
    <row r="44" spans="3:3" x14ac:dyDescent="0.3">
      <c r="C44" s="4">
        <v>279.18450000000001</v>
      </c>
    </row>
    <row r="45" spans="3:3" x14ac:dyDescent="0.3">
      <c r="C45" s="3">
        <v>441.75599999999997</v>
      </c>
    </row>
    <row r="46" spans="3:3" x14ac:dyDescent="0.3">
      <c r="C46" s="4">
        <v>35.195999999999998</v>
      </c>
    </row>
    <row r="47" spans="3:3" x14ac:dyDescent="0.3">
      <c r="C47" s="3">
        <v>184.107</v>
      </c>
    </row>
    <row r="48" spans="3:3" x14ac:dyDescent="0.3">
      <c r="C48" s="4">
        <v>463.89</v>
      </c>
    </row>
    <row r="49" spans="3:3" x14ac:dyDescent="0.3">
      <c r="C49" s="3">
        <v>235.2105</v>
      </c>
    </row>
    <row r="50" spans="3:3" x14ac:dyDescent="0.3">
      <c r="C50" s="4">
        <v>494.1825</v>
      </c>
    </row>
    <row r="51" spans="3:3" x14ac:dyDescent="0.3">
      <c r="C51" s="3">
        <v>737.76149999999996</v>
      </c>
    </row>
    <row r="52" spans="3:3" x14ac:dyDescent="0.3">
      <c r="C52" s="4">
        <v>417.56400000000002</v>
      </c>
    </row>
    <row r="53" spans="3:3" x14ac:dyDescent="0.3">
      <c r="C53" s="3">
        <v>71.525999999999996</v>
      </c>
    </row>
    <row r="54" spans="3:3" x14ac:dyDescent="0.3">
      <c r="C54" s="4">
        <v>328.755</v>
      </c>
    </row>
    <row r="55" spans="3:3" x14ac:dyDescent="0.3">
      <c r="C55" s="3">
        <v>575.31600000000003</v>
      </c>
    </row>
    <row r="56" spans="3:3" x14ac:dyDescent="0.3">
      <c r="C56" s="4">
        <v>461.32799999999997</v>
      </c>
    </row>
    <row r="57" spans="3:3" x14ac:dyDescent="0.3">
      <c r="C57" s="3">
        <v>253.00800000000001</v>
      </c>
    </row>
    <row r="58" spans="3:3" x14ac:dyDescent="0.3">
      <c r="C58" s="4">
        <v>91.055999999999997</v>
      </c>
    </row>
    <row r="59" spans="3:3" x14ac:dyDescent="0.3">
      <c r="C59" s="3">
        <v>117.831</v>
      </c>
    </row>
    <row r="60" spans="3:3" x14ac:dyDescent="0.3">
      <c r="C60" s="4">
        <v>435.45600000000002</v>
      </c>
    </row>
    <row r="61" spans="3:3" x14ac:dyDescent="0.3">
      <c r="C61" s="3">
        <v>829.08</v>
      </c>
    </row>
    <row r="62" spans="3:3" x14ac:dyDescent="0.3">
      <c r="C62" s="4">
        <v>32.277000000000001</v>
      </c>
    </row>
    <row r="63" spans="3:3" x14ac:dyDescent="0.3">
      <c r="C63" s="3">
        <v>394.63200000000001</v>
      </c>
    </row>
    <row r="64" spans="3:3" x14ac:dyDescent="0.3">
      <c r="C64" s="4">
        <v>535.72050000000002</v>
      </c>
    </row>
    <row r="65" spans="3:3" x14ac:dyDescent="0.3">
      <c r="C65" s="3">
        <v>189.09450000000001</v>
      </c>
    </row>
    <row r="66" spans="3:3" x14ac:dyDescent="0.3">
      <c r="C66" s="4">
        <v>119.259</v>
      </c>
    </row>
    <row r="67" spans="3:3" x14ac:dyDescent="0.3">
      <c r="C67" s="3">
        <v>867.61500000000001</v>
      </c>
    </row>
    <row r="68" spans="3:3" x14ac:dyDescent="0.3">
      <c r="C68" s="4">
        <v>671.79</v>
      </c>
    </row>
    <row r="69" spans="3:3" x14ac:dyDescent="0.3">
      <c r="C69" s="3">
        <v>234.0975</v>
      </c>
    </row>
    <row r="70" spans="3:3" x14ac:dyDescent="0.3">
      <c r="C70" s="4">
        <v>75.054000000000002</v>
      </c>
    </row>
    <row r="71" spans="3:3" x14ac:dyDescent="0.3">
      <c r="C71" s="3">
        <v>16.201499999999999</v>
      </c>
    </row>
    <row r="72" spans="3:3" x14ac:dyDescent="0.3">
      <c r="C72" s="4">
        <v>33.936</v>
      </c>
    </row>
    <row r="73" spans="3:3" x14ac:dyDescent="0.3">
      <c r="C73" s="3">
        <v>722.23199999999997</v>
      </c>
    </row>
    <row r="74" spans="3:3" x14ac:dyDescent="0.3">
      <c r="C74" s="4">
        <v>93.114000000000004</v>
      </c>
    </row>
    <row r="75" spans="3:3" x14ac:dyDescent="0.3">
      <c r="C75" s="3">
        <v>752.64</v>
      </c>
    </row>
    <row r="76" spans="3:3" x14ac:dyDescent="0.3">
      <c r="C76" s="4">
        <v>759.67499999999995</v>
      </c>
    </row>
    <row r="77" spans="3:3" x14ac:dyDescent="0.3">
      <c r="C77" s="3">
        <v>192.84299999999999</v>
      </c>
    </row>
    <row r="78" spans="3:3" x14ac:dyDescent="0.3">
      <c r="C78" s="4">
        <v>77.930999999999997</v>
      </c>
    </row>
    <row r="79" spans="3:3" x14ac:dyDescent="0.3">
      <c r="C79" s="3">
        <v>520.41150000000005</v>
      </c>
    </row>
    <row r="80" spans="3:3" x14ac:dyDescent="0.3">
      <c r="C80" s="4">
        <v>166.005</v>
      </c>
    </row>
    <row r="81" spans="1:3" x14ac:dyDescent="0.3">
      <c r="C81" s="3">
        <v>318.108</v>
      </c>
    </row>
    <row r="82" spans="1:3" x14ac:dyDescent="0.3">
      <c r="C82" s="4">
        <v>166.63499999999999</v>
      </c>
    </row>
    <row r="85" spans="1:3" x14ac:dyDescent="0.3">
      <c r="A85" s="6" t="s">
        <v>56</v>
      </c>
    </row>
    <row r="86" spans="1:3" x14ac:dyDescent="0.3">
      <c r="A86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0C5FBE-C91C-46CC-A8E6-BCD8000225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 data</vt:lpstr>
      <vt:lpstr>Distribution</vt:lpstr>
      <vt:lpstr>Hypothesis</vt:lpstr>
      <vt:lpstr>Visuals</vt:lpstr>
      <vt:lpstr>Status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ifeoma Amadi</dc:creator>
  <cp:lastModifiedBy>ifeoma Amadi</cp:lastModifiedBy>
  <dcterms:created xsi:type="dcterms:W3CDTF">2026-04-13T12:21:12Z</dcterms:created>
  <dcterms:modified xsi:type="dcterms:W3CDTF">2026-04-24T14:20:05Z</dcterms:modified>
</cp:coreProperties>
</file>